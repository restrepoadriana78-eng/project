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ciones" sheetId="1" state="visible" r:id="rId1"/>
    <sheet xmlns:r="http://schemas.openxmlformats.org/officeDocument/2006/relationships" name="Normas" sheetId="2" state="visible" r:id="rId2"/>
    <sheet xmlns:r="http://schemas.openxmlformats.org/officeDocument/2006/relationships" name="Literatura" sheetId="3" state="visible" r:id="rId3"/>
    <sheet xmlns:r="http://schemas.openxmlformats.org/officeDocument/2006/relationships" name="Control cambios" sheetId="4" state="visible" r:id="rId4"/>
  </sheets>
  <definedNames>
    <definedName name="_xlnm._FilterDatabase" localSheetId="1" hidden="1">'Normas'!$A$1:$S$37</definedName>
    <definedName name="_xlnm._FilterDatabase" localSheetId="3" hidden="1">'Control cambios'!$A$1:$D$10</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0"/>
    </font>
    <font>
      <name val="Arial"/>
      <charset val="1"/>
      <family val="0"/>
      <b val="1"/>
      <color rgb="FFFFFFFF"/>
      <sz val="10"/>
    </font>
    <font>
      <name val="Arial"/>
      <charset val="1"/>
      <family val="0"/>
      <b val="1"/>
      <color rgb="FFC00000"/>
      <sz val="10"/>
    </font>
    <font>
      <name val="Cambria"/>
      <charset val="1"/>
      <family val="0"/>
      <b val="1"/>
      <sz val="11"/>
    </font>
  </fonts>
  <fills count="6">
    <fill>
      <patternFill/>
    </fill>
    <fill>
      <patternFill patternType="gray125"/>
    </fill>
    <fill>
      <patternFill patternType="solid">
        <fgColor rgb="FF1F4E3D"/>
        <bgColor rgb="FF003366"/>
      </patternFill>
    </fill>
    <fill>
      <patternFill patternType="solid">
        <fgColor rgb="FFFFF2CC"/>
        <bgColor rgb="FFFFFFFF"/>
      </patternFill>
    </fill>
    <fill>
      <patternFill patternType="solid">
        <fgColor rgb="FFF8CBAD"/>
        <bgColor rgb="FFFFF2CC"/>
      </patternFill>
    </fill>
    <fill>
      <patternFill patternType="solid">
        <fgColor rgb="FFDDEBF7"/>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8" fillId="3" borderId="1" applyAlignment="1" pivotButton="0" quotePrefix="0" xfId="0">
      <alignment horizontal="general" vertical="top" wrapText="1"/>
    </xf>
    <xf numFmtId="0" fontId="5" fillId="5" borderId="1"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8" fillId="3" borderId="1" applyAlignment="1" pivotButton="0" quotePrefix="0" xfId="0">
      <alignment horizontal="general" vertical="top" wrapText="1"/>
    </xf>
    <xf numFmtId="0" fontId="5" fillId="5" borderId="1"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4E3D"/>
          <bgColor rgb="FF000000"/>
        </patternFill>
      </fill>
    </dxf>
    <dxf>
      <fill>
        <patternFill patternType="solid">
          <fgColor rgb="FFDDEBF7"/>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C00000"/>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3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15" min="1" max="1"/>
    <col width="14" customWidth="1" style="15" min="2" max="2"/>
  </cols>
  <sheetData>
    <row r="1" ht="39" customHeight="1" s="16">
      <c r="A1" s="17" t="inlineStr">
        <is>
          <t>Registro normativo y bibliográfico — Capítulo de permisos (libro de métodos de muestreo de biodiversidad, Colombia)</t>
        </is>
      </c>
    </row>
    <row r="2" ht="34.5" customHeight="1" s="16">
      <c r="A2" s="18" t="inlineStr">
        <is>
          <t>Fecha de corte normativa: octubre de 2026 (revisión al 6 de octubre de 2026). Alcance: nacional, indicando qué se tramita a nivel nacional y qué a nivel regional, y el criterio de competencia.</t>
        </is>
      </c>
    </row>
    <row r="3" ht="15" customHeight="1" s="16">
      <c r="A3" s="18" t="n"/>
    </row>
    <row r="4" ht="15" customHeight="1" s="16">
      <c r="A4" s="19" t="inlineStr">
        <is>
          <t>Cómo usar</t>
        </is>
      </c>
    </row>
    <row r="5" ht="34.5" customHeight="1" s="16">
      <c r="A5" s="18" t="inlineStr">
        <is>
          <t>1. Hoja 'Normas': cada fila es una figura o norma. Todas vienen pre-cargadas en estado 'Por verificar' a partir de lo que Claude recordaba; nada debe citarse en el capítulo hasta pasar a 'Verificado'.</t>
        </is>
      </c>
    </row>
    <row r="6" ht="23.25" customHeight="1" s="16">
      <c r="A6" s="18" t="inlineStr">
        <is>
          <t>2. Las celdas amarillas son de diligenciamiento. Rojo = vacío o dato a corregir. Azul = fila nueva en v4. Las columnas 'Pendiente para redacción' y 'Prioridad' indican qué falta antes de redactar cada sección.</t>
        </is>
      </c>
    </row>
    <row r="7" ht="45.75" customHeight="1" s="16">
      <c r="A7" s="18" t="inlineStr">
        <is>
          <t>3. Para vigencia, consultar fuente primaria (SUIN-Juriscol, Diario Oficial, sitio oficial de MADS, ANLA, PNN, Instituto Humboldt, ICA). Registrar si la norma fue compilada en el Decreto 1076 de 2015 y el artículo del DUR correspondiente.</t>
        </is>
      </c>
    </row>
    <row r="8" ht="34.5" customHeight="1" s="16">
      <c r="A8" s="18" t="inlineStr">
        <is>
          <t>4. 'Estado de vigencia' y 'Estado de verificación' son variables distintas. Por verificar = nada confirmado; Vigencia verificada = vigencia y fuente confirmadas, falta texto literal; Verificado = vigencia + texto literal registrados.</t>
        </is>
      </c>
    </row>
    <row r="9" ht="23.25" customHeight="1" s="16">
      <c r="A9" s="18" t="inlineStr">
        <is>
          <t>5. Hoja 'Literatura': artículos científicos para introducción y análisis crítico. Extraer cita textual con página exacta y verificar DOI antes de usar.</t>
        </is>
      </c>
    </row>
    <row r="10" ht="23.25" customHeight="1" s="16">
      <c r="A10" s="18" t="inlineStr">
        <is>
          <t>6. Filas en cursiva gris en 'Normas' marcan normas aún no identificadas: el tema es necesario pero falta encontrar el instrumento.</t>
        </is>
      </c>
    </row>
    <row r="11" ht="15" customHeight="1" s="16">
      <c r="A11" s="18" t="n"/>
    </row>
    <row r="12" ht="15" customHeight="1" s="16">
      <c r="A12" s="19" t="inlineStr">
        <is>
          <t>Avance (se actualiza solo)</t>
        </is>
      </c>
    </row>
    <row r="13" ht="15" customHeight="1" s="16">
      <c r="A13" s="20" t="inlineStr">
        <is>
          <t>Normas registradas</t>
        </is>
      </c>
      <c r="B13" s="21">
        <f>COUNTA(Normas!A2:A300)</f>
        <v/>
      </c>
    </row>
    <row r="14" ht="15" customHeight="1" s="16">
      <c r="A14" s="20" t="inlineStr">
        <is>
          <t>Verificadas (vigencia + texto literal)</t>
        </is>
      </c>
      <c r="B14" s="21">
        <f>COUNTIF(Normas!L2:L300,"Verificado")</f>
        <v/>
      </c>
    </row>
    <row r="15" ht="15" customHeight="1" s="16">
      <c r="A15" s="20" t="inlineStr">
        <is>
          <t>Solo vigencia verificada</t>
        </is>
      </c>
      <c r="B15" s="21">
        <f>COUNTIF(Normas!L2:L300,"Vigencia verificada")</f>
        <v/>
      </c>
    </row>
    <row r="16" ht="15" customHeight="1" s="16">
      <c r="A16" s="20" t="inlineStr">
        <is>
          <t>Por verificar</t>
        </is>
      </c>
      <c r="B16" s="21">
        <f>COUNTIF(Normas!L2:L300,"Por verificar")</f>
        <v/>
      </c>
    </row>
    <row r="17" ht="15" customHeight="1" s="16">
      <c r="A17" s="20" t="inlineStr">
        <is>
          <t>Filas con texto literal</t>
        </is>
      </c>
      <c r="B17" s="21">
        <f>COUNTA(Normas!I2:I300)</f>
        <v/>
      </c>
    </row>
    <row r="18" ht="15" customHeight="1" s="16">
      <c r="A18" s="20" t="inlineStr">
        <is>
          <t>Pendientes de prioridad alta</t>
        </is>
      </c>
      <c r="B18" s="21">
        <f>COUNTIF(Normas!S2:S300,"Alta")</f>
        <v/>
      </c>
    </row>
    <row r="19" ht="15" customHeight="1" s="16">
      <c r="A19" s="20" t="inlineStr">
        <is>
          <t>Referencias registradas</t>
        </is>
      </c>
      <c r="B19" s="21">
        <f>COUNTA(Literatura!A2:A300)</f>
        <v/>
      </c>
    </row>
    <row r="20" ht="15" customHeight="1" s="16">
      <c r="A20" s="20" t="inlineStr">
        <is>
          <t>Referencias verificadas</t>
        </is>
      </c>
      <c r="B20" s="21">
        <f>COUNTIF(Literatura!L2:L300,"Verificado")</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S4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15" min="1" max="1"/>
    <col width="16" customWidth="1" style="15" min="2" max="2"/>
    <col width="28" customWidth="1" style="15" min="3" max="3"/>
    <col width="30" customWidth="1" style="15" min="4" max="4"/>
    <col width="16" customWidth="1" style="15" min="5" max="5"/>
    <col width="26" customWidth="1" style="15" min="6" max="6"/>
    <col width="14" customWidth="1" style="15" min="7" max="7"/>
    <col width="34" customWidth="1" style="15" min="8" max="8"/>
    <col width="40" customWidth="1" style="15" min="9" max="9"/>
    <col width="28" customWidth="1" style="15" min="10" max="10"/>
    <col width="18" customWidth="1" style="15" min="11" max="12"/>
    <col width="24" customWidth="1" style="15" min="13" max="13"/>
    <col width="26" customWidth="1" style="15" min="14" max="14"/>
    <col width="12" customWidth="1" style="15" min="15" max="15"/>
    <col width="10" customWidth="1" style="15" min="16" max="16"/>
    <col width="44" customWidth="1" style="15" min="17" max="17"/>
    <col width="40" customWidth="1" style="15" min="18" max="18"/>
    <col width="10" customWidth="1" style="15" min="19" max="19"/>
  </cols>
  <sheetData>
    <row r="1" ht="31.5" customHeight="1" s="16">
      <c r="A1" s="22" t="inlineStr">
        <is>
          <t>ID</t>
        </is>
      </c>
      <c r="B1" s="22" t="inlineStr">
        <is>
          <t>Sección del capítulo</t>
        </is>
      </c>
      <c r="C1" s="22" t="inlineStr">
        <is>
          <t>Tema / figura</t>
        </is>
      </c>
      <c r="D1" s="22" t="inlineStr">
        <is>
          <t>Norma</t>
        </is>
      </c>
      <c r="E1" s="22" t="inlineStr">
        <is>
          <t>Artículo(s)</t>
        </is>
      </c>
      <c r="F1" s="22" t="inlineStr">
        <is>
          <t>Autoridad competente</t>
        </is>
      </c>
      <c r="G1" s="22" t="inlineStr">
        <is>
          <t>Nivel (nacional / regional)</t>
        </is>
      </c>
      <c r="H1" s="22" t="inlineStr">
        <is>
          <t>Criterio de competencia</t>
        </is>
      </c>
      <c r="I1" s="22" t="inlineStr">
        <is>
          <t>Texto literal relevante</t>
        </is>
      </c>
      <c r="J1" s="22" t="inlineStr">
        <is>
          <t>Modificada / derogada / compilada por</t>
        </is>
      </c>
      <c r="K1" s="22" t="inlineStr">
        <is>
          <t>Estado de vigencia</t>
        </is>
      </c>
      <c r="L1" s="22" t="inlineStr">
        <is>
          <t>Estado de verificación</t>
        </is>
      </c>
      <c r="M1" s="22" t="inlineStr">
        <is>
          <t>Fuente oficial</t>
        </is>
      </c>
      <c r="N1" s="22" t="inlineStr">
        <is>
          <t>URL</t>
        </is>
      </c>
      <c r="O1" s="22" t="inlineStr">
        <is>
          <t>Fecha de consulta</t>
        </is>
      </c>
      <c r="P1" s="22" t="inlineStr">
        <is>
          <t>Certeza</t>
        </is>
      </c>
      <c r="Q1" s="22" t="inlineStr">
        <is>
          <t>Notas y dudas</t>
        </is>
      </c>
      <c r="R1" s="22" t="inlineStr">
        <is>
          <t>Pendiente para redacción</t>
        </is>
      </c>
      <c r="S1" s="22" t="inlineStr">
        <is>
          <t>Prioridad</t>
        </is>
      </c>
    </row>
    <row r="2" ht="408.75" customHeight="1" s="16">
      <c r="A2" s="23" t="inlineStr">
        <is>
          <t>N01</t>
        </is>
      </c>
      <c r="B2" s="23" t="inlineStr">
        <is>
          <t>1. Introducción; 2. Conceptos</t>
        </is>
      </c>
      <c r="C2" s="23" t="inlineStr">
        <is>
          <t>Marco constitucional: protección de la diversidad y control de recursos genéticos</t>
        </is>
      </c>
      <c r="D2" s="23" t="inlineStr">
        <is>
          <t>Constitución Política de 1991</t>
        </is>
      </c>
      <c r="E2" s="23" t="inlineStr">
        <is>
          <t>Arts. 8, 27, 69, 79, 80, 81</t>
        </is>
      </c>
      <c r="F2" s="23" t="inlineStr">
        <is>
          <t>—</t>
        </is>
      </c>
      <c r="G2" s="23" t="inlineStr">
        <is>
          <t>Nacional</t>
        </is>
      </c>
      <c r="H2" s="23" t="inlineStr">
        <is>
          <t>Marco constitucional</t>
        </is>
      </c>
      <c r="I2" s="24" t="inlineStr">
        <is>
          <t>Art. 8: “Es obligación del Estado y de las personas proteger las riquezas culturales y naturales de la Nación.”
Art. 27: “El Estado garantiza las libertades de enseñanza, aprendizaje, investigación y cátedra.”
Art. 69: “Se garantiza la autonomía universitaria. Las universidades podrán darse sus directivas y regirse por sus propios estatutos, de acuerdo con la ley. La ley establecerá un régimen especial para las universidades del Estado. El Estado fortalecerá la investigación científica en las universidades oficiales y privadas y ofrecerá las condiciones especiales para su desarrollo. El Estado facilitará mecanismos financieros que hagan posible el acceso de todas las personas aptas a la educación superior.”
Art. 79: “Todas las personas tienen derecho a gozar de un ambiente sano. La ley garantizará la participación de la comunidad en las decisiones que puedan afectarlo. Es deber del Estado proteger la diversidad e integridad del ambiente, conservar las áreas de especial importancia ecológica y fomentar la educación para el logro de estos fines.”
Art. 80: “El Estado planificará el manejo y aprovechamiento de los recursos naturales, para garantizar su desarrollo sostenible, su conservación, restauración o sustitución. Además, deberá prevenir y controlar los factores de deterioro ambiental, imponer las sanciones legales y exigir la reparación de los daños causados. Así mismo, cooperará con otras naciones en la protección de los ecosistemas situados en las zonas fronterizas.”
Art. 81: “Queda prohibida la fabricación, importación, posesión y uso de armas químicas, biológicas y nucleares, así como la introducción al territorio nacional de residuos nucleares y desechos tóxicos. El Estado regulará el ingreso al país y la salida de él de los recursos genéticos, y su utilización, de acuerdo con el interés nacional.”</t>
        </is>
      </c>
      <c r="J2" s="24" t="inlineStr">
        <is>
          <t>Texto consultado el 6 oct. 2026 en la Secretaría del Senado (constitucion_politica_1991.html para el art. 8; constitucion_politica_1991_pr002.html para los arts. 79–81). Bajo los artículos solo aparecen enlaces de concordancias, jurisprudencia y antecedentes; ninguna nota de modificación. (v11) Arts. 27 y 69 consultados el 6 oct. 2026 en la misma fuente; sin notas de modificación.</t>
        </is>
      </c>
      <c r="K2" s="23" t="inlineStr">
        <is>
          <t>Vigente</t>
        </is>
      </c>
      <c r="L2" s="23" t="inlineStr">
        <is>
          <t>Verificado</t>
        </is>
      </c>
      <c r="M2" s="24" t="inlineStr">
        <is>
          <t>http://www.secretariasenado.gov.co/senado/basedoc/constitucion_politica_1991_pr002.html</t>
        </is>
      </c>
      <c r="N2" s="24" t="inlineStr">
        <is>
          <t>https://www.secretariasenado.gov.co/</t>
        </is>
      </c>
      <c r="O2" s="24" t="inlineStr">
        <is>
          <t>6 oct. 2026</t>
        </is>
      </c>
      <c r="P2" s="24" t="inlineStr">
        <is>
          <t>Alta</t>
        </is>
      </c>
      <c r="Q2" s="23" t="inlineStr">
        <is>
          <t>Art. 81 se refiere a la regulación del ingreso/salida de recursos genéticos y prohíbe fabricación/importación de armas químicas, biológicas y nucleares. Para recursos genéticos, complementar con Decisión 391/1996. (v9) MÉTODO: el texto se obtuvo con una herramienta de lectura web que pasa el contenido por un modelo de resumen; se pidió transcripción literal y coincide con el texto constitucional conocido, pero conviene un cotejo visual antes de citar. La Guía ANLA IR-GU-04 (N39) cita además los arts. 27 (libertad de investigación) y 69 (autonomía universitaria) como normativa del Permiso Marco: evaluar si se incluyen en 2.1. Se corrigió la fecha de consulta. (v11) Arts. 27 y 69 incluidos en 2.1 por decisión de Adri.</t>
        </is>
      </c>
      <c r="R2" s="23" t="inlineStr">
        <is>
          <t>Ninguno. Recomendado: cotejo visual del texto en la página web (ver Q).</t>
        </is>
      </c>
      <c r="S2" s="23" t="inlineStr">
        <is>
          <t>—</t>
        </is>
      </c>
    </row>
    <row r="3" ht="408.75" customHeight="1" s="16">
      <c r="A3" s="23" t="inlineStr">
        <is>
          <t>N02</t>
        </is>
      </c>
      <c r="B3" s="23" t="inlineStr">
        <is>
          <t>2. Conceptos</t>
        </is>
      </c>
      <c r="C3" s="23" t="inlineStr">
        <is>
          <t>Aprobación del Convenio sobre la Diversidad Biológica</t>
        </is>
      </c>
      <c r="D3" s="23" t="inlineStr">
        <is>
          <t>Ley 165 de 1994</t>
        </is>
      </c>
      <c r="E3" s="23" t="inlineStr">
        <is>
          <t>Art. 2 (definiciones: diversidad biológica, material genético, recursos genéticos, utilización sostenible); art. 15, nums. 1, 4 y 5</t>
        </is>
      </c>
      <c r="F3" s="23" t="inlineStr">
        <is>
          <t>Congreso / MADS</t>
        </is>
      </c>
      <c r="G3" s="23" t="inlineStr">
        <is>
          <t>Nacional</t>
        </is>
      </c>
      <c r="H3" s="23" t="inlineStr">
        <is>
          <t>Tratado internacional</t>
        </is>
      </c>
      <c r="I3" s="24" t="inlineStr">
        <is>
          <t>CDB art. 2, "diversidad biológica" (p. 3): “Por "diversidad biológica" se entiende la variabilidad de organismos vivos de cualquier fuente, incluidos entre otras cosas, los ecosistemas terrestres y marinos y otros ecosistemas acuáticos y los complejos ecológicos de los que forman parte; comprende la diversidad dentro de cada especie, entre las especies y de los ecosistemas.”
CDB art. 2, "material genético" (p. 3): “Por "material genético" se entiende todo material de origen vegetal, animal, microbiano o de otro tipo que contenga unidades funcionales de la herencia.”
CDB art. 2, "recursos genéticos" (p. 4): “Por "recursos genéticos" se entiende el material genético de valor real o potencial.”
CDB art. 2, "utilización sostenible" (p. 4): “Por "utilización sostenible" se entiende la utilización de componentes de la diversidad biológica de un modo y a un ritmo que no ocasione la disminución a largo plazo de la diversidad biológica, con lo cual se mantienen las posibilidades de ésta de satisfacer las necesidades y las aspiraciones de las generaciones actuales y futuras.”
CDB art. 15, num. 1 (p. 8): “1. En reconocimiento de los derechos soberanos de los Estados sobre sus recursos naturales, la facultad de regular el acceso a los recursos genéticos incumbe a los gobiernos nacionales y está sometida a la legislación nacional.”
CDB art. 15, num. 4 (p. 8): “4. Cuando se conceda acceso, éste será en condiciones mutuamente convenidas y estará sometido a lo dispuesto en el presente artículo.”
CDB art. 15, num. 5 (p. 8): “5. El acceso a los recursos genéticos estará sometido al consentimiento fundamentado previo de la Parte Contratante que proporciona los recursos, a menos que esa Parte decida otra cosa.”</t>
        </is>
      </c>
      <c r="J3" s="24" t="inlineStr">
        <is>
          <t>Notas de vigencia del PDF (formato con "Resumen de Notas de Vigencia"): (1) Ley declarada EXEQUIBLE por la Corte Constitucional, Sentencia C-519 de 1994 (21 nov. 1994); (2) el Convenio fue promulgado por el Decreto 0205 de 1996 (Diario Oficial 42.704, 30 ene. 1996). Sin notas de modificación sobre los artículos citados.</t>
        </is>
      </c>
      <c r="K3" s="23" t="inlineStr">
        <is>
          <t>Vigente</t>
        </is>
      </c>
      <c r="L3" s="23" t="inlineStr">
        <is>
          <t>Verificado</t>
        </is>
      </c>
      <c r="M3" s="24" t="inlineStr">
        <is>
          <t>https://www.funcionpublica.gov.co/eva/gestornormativo/norma.php?i=37807</t>
        </is>
      </c>
      <c r="N3" s="24" t="inlineStr">
        <is>
          <t>https://www.funcionpublica.gov.co/</t>
        </is>
      </c>
      <c r="O3" s="24" t="inlineStr">
        <is>
          <t>6 oct. 2026</t>
        </is>
      </c>
      <c r="P3" s="24" t="inlineStr">
        <is>
          <t>Alta</t>
        </is>
      </c>
      <c r="Q3" s="23" t="inlineStr">
        <is>
          <t>Colombia es Parte del CDB desde 1995. (v7) El PDF aportado no indica su fuente web; la columna M conserva la URL de Función Pública registrada antes. El art. 8, lit. j (conocimientos tradicionales) no se transcribió: incluirlo solo si 5.4 lo trata.</t>
        </is>
      </c>
      <c r="R3" s="23" t="inlineStr">
        <is>
          <t>Ninguno.</t>
        </is>
      </c>
      <c r="S3" s="23" t="inlineStr">
        <is>
          <t>—</t>
        </is>
      </c>
    </row>
    <row r="4" ht="68.25" customHeight="1" s="16">
      <c r="A4" s="23" t="inlineStr">
        <is>
          <t>N03</t>
        </is>
      </c>
      <c r="B4" s="23" t="inlineStr">
        <is>
          <t>2. Conceptos</t>
        </is>
      </c>
      <c r="C4" s="23" t="inlineStr">
        <is>
          <t>Código de recursos naturales (base del régimen de fauna y flora silvestre)</t>
        </is>
      </c>
      <c r="D4" s="23" t="inlineStr">
        <is>
          <t>Decreto-Ley 2811 de 1974</t>
        </is>
      </c>
      <c r="E4" s="23" t="inlineStr">
        <is>
          <t>Arts. 51, 56 y régimen de fauna/flora; concordancias compiladas en DUR 1076/2015</t>
        </is>
      </c>
      <c r="F4" s="23" t="inlineStr">
        <is>
          <t>MADS / autoridades ambientales</t>
        </is>
      </c>
      <c r="G4" s="23" t="inlineStr">
        <is>
          <t>Nacional</t>
        </is>
      </c>
      <c r="H4" s="23" t="inlineStr">
        <is>
          <t>Marco general</t>
        </is>
      </c>
      <c r="I4" s="25" t="n"/>
      <c r="J4" s="24" t="n"/>
      <c r="K4" s="23" t="inlineStr">
        <is>
          <t>Vigente, parcialmente compilado</t>
        </is>
      </c>
      <c r="L4" s="23" t="inlineStr">
        <is>
          <t>Vigencia verificada</t>
        </is>
      </c>
      <c r="M4" s="24" t="inlineStr">
        <is>
          <t>https://www.funcionpublica.gov.co/eva/gestornormativo/norma.php?i=1551</t>
        </is>
      </c>
      <c r="N4" s="24" t="inlineStr">
        <is>
          <t>https://www.funcionpublica.gov.co/</t>
        </is>
      </c>
      <c r="O4" s="24" t="inlineStr">
        <is>
          <t>6 oct. 2026</t>
        </is>
      </c>
      <c r="P4" s="24" t="inlineStr">
        <is>
          <t>Alta</t>
        </is>
      </c>
      <c r="Q4" s="23" t="inlineStr">
        <is>
          <t>Varias disposiciones reglamentarias fueron compiladas en Decreto 1076/2015; citar el artículo original solo cuando sea útil.</t>
        </is>
      </c>
      <c r="R4" s="23" t="inlineStr">
        <is>
          <t>Texto literal solo si se cita en sección 2.</t>
        </is>
      </c>
      <c r="S4" s="23" t="inlineStr">
        <is>
          <t>Baja</t>
        </is>
      </c>
    </row>
    <row r="5" ht="408.75" customHeight="1" s="16">
      <c r="A5" s="23" t="inlineStr">
        <is>
          <t>N04</t>
        </is>
      </c>
      <c r="B5" s="23" t="inlineStr">
        <is>
          <t>2. Conceptos</t>
        </is>
      </c>
      <c r="C5" s="23" t="inlineStr">
        <is>
          <t>SINA y competencias de MADS y autoridades regionales</t>
        </is>
      </c>
      <c r="D5" s="23" t="inlineStr">
        <is>
          <t>Ley 99 de 1993</t>
        </is>
      </c>
      <c r="E5" s="23" t="inlineStr">
        <is>
          <t>Art. 1, nums. 2 y 6; art. 5, nums. 20, 21, 23, 38 y 42; art. 23; art. 31, nums. 2, 9, 12, 14 y 17; art. 51; art. 55; art. 66</t>
        </is>
      </c>
      <c r="F5" s="23" t="inlineStr">
        <is>
          <t>MADS; CAR; autoridades ambientales urbanas</t>
        </is>
      </c>
      <c r="G5" s="23" t="inlineStr">
        <is>
          <t>Nacional y regional</t>
        </is>
      </c>
      <c r="H5" s="23" t="inlineStr">
        <is>
          <t>Competencias según jurisdicción y materia</t>
        </is>
      </c>
      <c r="I5" s="24" t="inlineStr">
        <is>
          <t>Art. 1, num. 2 (p. 1): “2. La biodiversidad del país, por ser patrimonio nacional y de interés de la humanidad, deberá ser protegida prioritariamente y aprovechada en forma sostenible.”
Art. 1, num. 6 (p. 2): “6. La formulación de las políticas ambientales tendrá en cuenta el resultado del proceso de investigación científica. No obstante, las autoridades ambientales y los particulares darán aplicación al principio de precaución conforme al cual, cuando exista peligro de daño grave e irreversible, la falta de certeza científica absoluta no deberá utilizarse como razón para postergar la adopción de medidas eficaces para impedir la degradación del medio ambiente.”
Art. 5, num. 20 (p. 5): “20. Coordinar, promover y orientar las acciones de investigación sobre el medio ambiente y los recursos naturales renovables, establecer el Sistema de Información Ambiental, y organizar el inventario de la biodiversidad y de los recursos genéticos nacionales; promover la investigación de modelos alternativos de desarrollo sostenible; ejercer la Secretaría Técnica y Administrativa del Consejo del Programa Nacional de Ciencias y del Medio Ambiente y el Hábitat;”
Art. 5, num. 21 (p. 5): “21. Regular, conforme a la ley, la obtención, uso, manejo, investigación, importación, exportación, así como la distribución y el comercio de especies y estirpes genéticas de fauna y flora silvestres; regular la importación, exportación y comercio de dicho material genético, establecer los mecanismos y procedimientos de control y vigilancia y disponer lo necesario para reclamar el pago o reconocimiento de los derechos o regalías que se causen a favor de la nación por el uso de material genético;”
Art. 5, num. 23 (p. 5): “23. Adoptar las medidas necesarias para asegurar la protección de las especies de flora y fauna silvestres; tomar las previsiones que sean del caso para defender especies en extinción o en peligro de serlo; y expedir los certificados a que se refiere la Convención Internacional de Comercio de Especies de Fauna y Flora Silvestre Amenazadas de Extinción (CITES);”
Art. 5, num. 38 (p. 7): “38. Vigilar que el estudio, exploración e investigación de nacionales o extranjeros con respecto a nuestros recursos naturales renovables respete la soberanía nacional y los derechos de la Nación colombiana sobre sus recursos genéticos;”
Art. 5, num. 42 (p. 7): “42. Fijar los cupos globales y determinar las especies para el aprovechamiento de bosques naturales y la obtención de especímenes de flora y fauna silvestres, teniendo en cuenta la oferta y la capacidad de renovación de dichos recursos, con base en los cuales las Corporaciones Autónomas Regionales otorgarán los correspondientes permisos, concesiones y autorizaciones de aprovechamiento;”
Art. 23, inc. 1 (p. 15): “Las Corporaciones Autónomas Regionales son entes corporativos de carácter público, creados por la ley, integrados por las entidades territoriales que por sus características constituyen geográficamente un mismo ecosistema o conforman una unidad geopolítica, biogeográfica o hidrogeográfica, dotados de autonomía administrativa y financiera, patrimonio propio y personería jurídica, encargados por la ley de administrar, dentro del área de su jurisdicción, el medio ambiente y los recursos naturales renovables y propender por su desarrollo sostenible, de conformidad con las disposiciones legales y las políticas del Ministerio del Medio Ambiente.”
Art. 31, num. 2 (p. 19): “2. Ejercer la función de máxima autoridad ambiental en el área de su jurisdicción, de acuerdo con las normas de carácter superior y conforme a los criterios y directrices trazadas por el Ministerio del Medio Ambiente;”
Art. 31, num. 9 (p. 20): “9. Otorgar concesiones, permisos, autorizaciones y licencias ambientales requeridas por la ley para el uso, aprovechamiento o movilización de los recursos naturales renovables o para el desarrollo de actividades que afecten o puedan afectar el medio ambiente. Otorgar permisos y concesiones para aprovechamientos forestales, concesiones para el uso de aguas superficiales y subterráneas y establecer vedas para la caza y pesca deportiva;”
Art. 31, num. 12 (p. 20): “12. Ejercer las funciones de evaluación, control y seguimiento ambiental de los usos del agua, el suelo, el aire y los demás recursos naturales renovables, lo cual comprenderá el vertimiento, emisión o incorporación de sustancias o residuos líquidos, sólidos y gaseosos, a las aguas a cualquiera de sus formas, al aire o a los suelos, así como los vertimientos o emisiones que puedan causar daño o poner en peligro el normal desarrollo sostenible de los recursos naturales renovables o impedir u obstaculizar su empleo para otros usos. Estas funciones comprenden la expedición de las respectivas licencias ambientales, permisos, concesiones, autorizaciones y salvoconductos;”
Art. 31, num. 14 (p. 21): “14. Ejercer el control de la movilización, procesamiento y comercialización de los recursos naturales renovables en coordinación con las demás Corporaciones Autónomas Regionales, las entidades territoriales y otras autoridades de policía, de conformidad con la ley y los reglamentos; y expedir los permisos, licencias y salvoconductos para la movilización de recursos naturales renovables;”
Art. 31, num. 17 (p. 21): “17. Imponer y ejecutar a prevención y sin perjuicio de las competencias atribuidas por la ley a otras autoridades, las medidas de policía y las sanciones previstas en la ley, en caso de violación a las normas de protección ambiental y de manejo de recursos naturales renovables y exigir, con sujeción a las regulaciones pertinentes, la reparación de los daños causados;”
Art. 51 (p. 38): “Las Licencias Ambientales serán otorgadas por el Ministerio del medio Ambiente, las Corporaciones Autónomas Regionales y algunos municipios y distritos, de conformidad con lo previsto en esta Ley. En la expedición de las licencias ambientales y para el otorgamiento de los permisos, concesiones y autorizaciones se acatarán las disposiciones relativas al medio ambiente y al control, la preservación y la defensa del patrimonio ecológico, expedidas por las entidades territoriales de la jurisdicción respectiva.”
Art. 55 (p. 40): “Los municipios, distritos y áreas metropolitanas cuya población urbana sea superior a 1.000.000 habitantes serán competentes, dentro de su perímetro urbano, para el otorgamiento de licencias ambientales, permisos, concesiones y autorizaciones cuya expedición no esté atribuida al Ministerio del Medio Ambiente.”
Art. 66, inc. 1 (p. 45): “Los municipios, distritos o áreas metropolitanas cuya población urbana fuere igual o superior a un millón de habitantes (1.000.000) ejercerán dentro del perímetro urbano las mismas funciones atribuidas a las Corporaciones Autónomas Regionales, en lo que fuere aplicable al medio ambiente urbano. Además de las licencias ambientales, concesiones, permisos y autorizaciones que les corresponda otorgar para el ejercicio de actividades o la ejecución de obras dentro del territorio de su jurisdicción, las autoridades municipales, distritales o metropolitanas tendrán la responsabilidad de efectuar el control de vertimientos y emisiones contaminantes, disposición de desechos sólidos y de residuos tóxicos y peligrosos, dictar las medidas de corrección o mitigación de daños ambientales y adelantar proyectos de saneamiento y descontaminación.”</t>
        </is>
      </c>
      <c r="J5" s="24" t="inlineStr">
        <is>
          <t>Notas de vigencia revisadas en la versión integrada de Función Pública (generada el 2026-10-06). Ninguno de los numerales citados de los arts. 1, 5 y 31, ni los arts. 23, 51 y 55, tiene nota de modificación o derogatoria. El encabezado del art. 31 y el art. 66 registran modificación por el Decreto 141 de 2011, que el mismo documento anota como declarado inexequible (Sentencia C-276 de 2011). Los arts. 83, 84 y 85 (policía y sanciones) aparecen subrogados por el art. 66 de la Ley 1333 de 2009 (ver N34). Las adiciones transitorias del Decreto 1277 de 2023 (arts. 5 y 31) no afectan los numerales citados.</t>
        </is>
      </c>
      <c r="K5" s="23" t="inlineStr">
        <is>
          <t>Vigente</t>
        </is>
      </c>
      <c r="L5" s="23" t="inlineStr">
        <is>
          <t>Verificado</t>
        </is>
      </c>
      <c r="M5" s="24" t="inlineStr">
        <is>
          <t>https://www.funcionpublica.gov.co/eva/gestornormativo/norma.php?i=297</t>
        </is>
      </c>
      <c r="N5" s="24" t="inlineStr">
        <is>
          <t>https://www.funcionpublica.gov.co/</t>
        </is>
      </c>
      <c r="O5" s="24" t="inlineStr">
        <is>
          <t>6 oct. 2026</t>
        </is>
      </c>
      <c r="P5" s="24" t="inlineStr">
        <is>
          <t>Alta</t>
        </is>
      </c>
      <c r="Q5" s="23" t="inlineStr">
        <is>
          <t>Base de distribución de competencias ambientales; verificar siempre la norma especial del trámite. ADVERTENCIAS DE LECTURA: (1) El texto atribuye funciones al "Ministerio del Medio Ambiente"; la denominación y estructura actuales (MADS) provienen de la Ley 1444 de 2011 y del Decreto-Ley 3570 de 2011, no registrados en esta tabla. (2) Las competencias de licenciamiento del Ministerio se trasladaron a la ANLA (N05); por eso no se cita el art. 5, num. 15, ni el art. 52. (3) Para la competencia de los grandes centros urbanos, usar el art. 55 como texto principal: no tiene notas de modificación. El art. 66 registra una modificación por un decreto declarado inexequible; Función Pública debería mostrar el texto vigente, pero si se cita textualmente conviene cotejarlo con la Secretaría del Senado. (4) Umbral poblacional: el art. 55 dice "superior a 1.000.000" y el art. 66 "igual o superior a un millón"; si se menciona la cifra en el capítulo, usar la del art. 66 o citar ambos. (5) Texto transcrito del PDF de Función Pública; se normalizaron las ligaduras tipográficas (fi, fl). Páginas = numeración del PDF. (v7) Confirmado: los considerandos del Decreto-Ley 3570 de 2011 (N37, p. 1) indican que el art. 12 de la Ley 1444 de 2011 reorganizó el ministerio y lo denominó Ministerio de Ambiente y Desarrollo Sostenible.</t>
        </is>
      </c>
      <c r="R5" s="23" t="inlineStr">
        <is>
          <t>Ninguno. Las advertencias de la columna Q son de lectura, no pendientes.</t>
        </is>
      </c>
      <c r="S5" s="23" t="inlineStr">
        <is>
          <t>—</t>
        </is>
      </c>
    </row>
    <row r="6" ht="408.75" customHeight="1" s="16">
      <c r="A6" s="23" t="inlineStr">
        <is>
          <t>N05</t>
        </is>
      </c>
      <c r="B6" s="23" t="inlineStr">
        <is>
          <t>2. Conceptos</t>
        </is>
      </c>
      <c r="C6" s="23" t="inlineStr">
        <is>
          <t>Creación de ANLA y sus competencias</t>
        </is>
      </c>
      <c r="D6" s="23" t="inlineStr">
        <is>
          <t>Decreto-Ley 3573 de 2011</t>
        </is>
      </c>
      <c r="E6" s="23" t="inlineStr">
        <is>
          <t>Arts. 1, 2 y 3 (nums. 1, 2, 7 y 11)</t>
        </is>
      </c>
      <c r="F6" s="23" t="inlineStr">
        <is>
          <t>ANLA</t>
        </is>
      </c>
      <c r="G6" s="23" t="inlineStr">
        <is>
          <t>Nacional</t>
        </is>
      </c>
      <c r="H6" s="23" t="inlineStr">
        <is>
          <t>Competencias ANLA</t>
        </is>
      </c>
      <c r="I6" s="24" t="inlineStr">
        <is>
          <t>Art. 1 (p. 1): “Créase la Unidad Administrativa Especial del orden nacional, denominada Autoridad Nacional de Licencias Ambientales –ANLA– en los términos del artículo 67 de la Ley 489 de 1998, con autonomía administrativa y financiera, sin personería jurídica, la cual hará parte del Sector Administrativo de Ambiente y Desarrollo Sostenible.”
Art. 2 (p. 1): “La Autoridad Nacional de Licencias Ambientales –ANLA– es la encargada de que los proyectos, obras o actividades sujetos de licenciamiento, permiso o trámite ambiental cumplan con la normativa ambiental, de tal manera que contribuyan al desarrollo sostenible ambiental del País.”
Art. 3, nums. 1 y 2 (p. 1): “1. Otorgar o negar las licencias, permisos y trámites ambientales de competencia del Ministerio de Ambiente y Desarrollo Sostenible, de conformidad con la ley y los reglamentos. 2. Realizar el seguimiento de las licencias, permisos y trámites ambientales.”
Art. 3, num. 7 (p. 2): “7. Adelantar y culminar el procedimiento de investigación, preventivo y sancionatorio en materia ambiental, de acuerdo con lo dispuesto en la Ley 1333 de 2009 o la norma que la modifique o sustituya.”
Art. 3, num. 11 (p. 2): “11. Dirimir los conflictos de competencia cuando el proyecto, obra o actividad sujeto a licencia o permiso ambiental se desarrolle en jurisdicción de dos o más autoridades ambientales.”</t>
        </is>
      </c>
      <c r="J6" s="24" t="inlineStr">
        <is>
          <t>Notas de vigencia revisadas en la versión de Función Pública (PDF generado el 2026-10-06). Arts. 1–3 sin notas de modificación. Los arts. 9 a 15 (estructura y funciones de dependencias) aparecen derogados por el art. 13 del Decreto 376 de 2020; no afectan los artículos citados.</t>
        </is>
      </c>
      <c r="K6" s="23" t="inlineStr">
        <is>
          <t>Vigente</t>
        </is>
      </c>
      <c r="L6" s="23" t="inlineStr">
        <is>
          <t>Verificado</t>
        </is>
      </c>
      <c r="M6" s="24" t="inlineStr">
        <is>
          <t>https://www.funcionpublica.gov.co/eva/gestornormativo/norma.php?i=45591</t>
        </is>
      </c>
      <c r="N6" s="24" t="inlineStr">
        <is>
          <t>https://www.funcionpublica.gov.co/</t>
        </is>
      </c>
      <c r="O6" s="24" t="inlineStr">
        <is>
          <t>6 oct. 2026</t>
        </is>
      </c>
      <c r="P6" s="24" t="inlineStr">
        <is>
          <t>Alta</t>
        </is>
      </c>
      <c r="Q6" s="23" t="inlineStr">
        <is>
          <t>El Decreto 1076/2015 contiene la compilación; el Decreto-Ley 3573 es norma fuente. PRECISIÓN (v6): el DUR 1076/2015 no compila el Decreto-Ley 3573 (norma con fuerza de ley); solo reproduce su objeto en el art. 1.1.2.2.1 (Libro 1, estructura del sector). Las funciones se citan del Decreto-Ley. La columna K se ajustó de "Vigente, integrado en DUR 1076/2015" a "Vigente".</t>
        </is>
      </c>
      <c r="R6" s="23" t="inlineStr">
        <is>
          <t>Ninguno.</t>
        </is>
      </c>
      <c r="S6" s="23" t="inlineStr">
        <is>
          <t>—</t>
        </is>
      </c>
    </row>
    <row r="7" ht="408.75" customHeight="1" s="16">
      <c r="A7" s="23" t="inlineStr">
        <is>
          <t>N06</t>
        </is>
      </c>
      <c r="B7" s="23" t="inlineStr">
        <is>
          <t>2. Conceptos; Anexo A</t>
        </is>
      </c>
      <c r="C7" s="23" t="inlineStr">
        <is>
          <t>Decreto Único Reglamentario del sector ambiente (compila decretos de permisos)</t>
        </is>
      </c>
      <c r="D7" s="23" t="inlineStr">
        <is>
          <t>Decreto 1076 de 2015</t>
        </is>
      </c>
      <c r="E7" s="23" t="inlineStr">
        <is>
          <t>Lib. 2, Parte 2, Tít. 2: Cap. 8 (investigación científica, arts. 2.2.2.8.1.1–2.2.2.8.6.9; → N07, N08); Cap. 9, Secc. 1 (colecciones biológicas, arts. 2.2.2.9.1.1–2.2.2.9.1.14; → N10); Cap. 9, Secc. 2 (permiso de estudio para estudios ambientales, arts. 2.2.2.9.2.1–2.2.2.9.2.14; → N09)</t>
        </is>
      </c>
      <c r="F7" s="23" t="inlineStr">
        <is>
          <t>MADS; ANLA; CAR; PNN; autoridades ambientales competentes</t>
        </is>
      </c>
      <c r="G7" s="23" t="inlineStr">
        <is>
          <t>Nacional y regional</t>
        </is>
      </c>
      <c r="H7" s="23" t="inlineStr">
        <is>
          <t>Según instrumento y jurisdicción</t>
        </is>
      </c>
      <c r="I7" s="24" t="inlineStr">
        <is>
          <t>Encabezado (p. 1): “ÚLTIMA FECHA DE ACTUALIZACIÓN: 2 DE NOVIEMBRE DE 2025”
Lib. 2, Parte 2, Tít. 2 (p. 169): “CAPÍTULO 8. INVESTIGACIÓN CIENTÍFICA”
Lib. 2, Parte 2, Tít. 2 (p. 175): “CAPÍTULO 9 COLECCIONES BIOLÓGICAS”
Cap. 9 (p. 179): “SECCIÓN 2. PERMISO DE ESTUDIO PARA LA RECOLECCIÓN DE ESPECÍMENES DE ESPECIES SILVESTRES DE LA DIVERSIDAD BIOLÓGICA CON FINES DE ELABORACIÓN DE ESTUDIOS AMBIENTALES”</t>
        </is>
      </c>
      <c r="J7"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7" s="23" t="inlineStr">
        <is>
          <t>Vigente, con modificaciones posteriores</t>
        </is>
      </c>
      <c r="L7" s="23" t="inlineStr">
        <is>
          <t>Verificado</t>
        </is>
      </c>
      <c r="M7" s="24" t="inlineStr">
        <is>
          <t>https://www.funcionpublica.gov.co/eva/gestornormativo/norma.php?i=78153</t>
        </is>
      </c>
      <c r="N7" s="24" t="inlineStr">
        <is>
          <t>https://www.funcionpublica.gov.co/eva/gestornormativo/norma.php?i=78153</t>
        </is>
      </c>
      <c r="O7" s="24" t="inlineStr">
        <is>
          <t>6 oct. 2026</t>
        </is>
      </c>
      <c r="P7" s="24" t="inlineStr">
        <is>
          <t>Alta</t>
        </is>
      </c>
      <c r="Q7" s="23" t="inlineStr">
        <is>
          <t>No tratarlo como norma estática: la versión integrada incorpora modificaciones. Para permisos de biodiversidad revisar artículos específicos y sus normas modificatorias. (v8) BRECHA DUR nov. 2025–oct. 2026: el Decreto 0973 de 2026 (mercados de carbono) modificó el DUR después de la fecha de actualización de la versión integrada; adiciona el Cap. 15 al Tít. 9 y deroga el Tít. 11 de la Parte 2 del Libro 2. No toca los Caps. 8–9 del Tít. 2.</t>
        </is>
      </c>
      <c r="R7" s="23" t="inlineStr">
        <is>
          <t>Ninguno. Mapa de artículos registrado en la columna E (base del Anexo A).</t>
        </is>
      </c>
      <c r="S7" s="23" t="inlineStr">
        <is>
          <t>—</t>
        </is>
      </c>
    </row>
    <row r="8" ht="408.75" customHeight="1" s="16">
      <c r="A8" s="23" t="inlineStr">
        <is>
          <t>N07</t>
        </is>
      </c>
      <c r="B8" s="23" t="inlineStr">
        <is>
          <t>4.1–4.2; 5.1</t>
        </is>
      </c>
      <c r="C8" s="23" t="inlineStr">
        <is>
          <t>Permiso de recolección con fines de investigación científica no comercial (marco e individual)</t>
        </is>
      </c>
      <c r="D8" s="23" t="inlineStr">
        <is>
          <t>Decreto 1376 de 2013 (compilado en DUR 1076/2015)</t>
        </is>
      </c>
      <c r="E8" s="23" t="inlineStr">
        <is>
          <t>Arts. 2.2.2.8.1.1–2.2.2.8.6.9 (Cap. 8); citados: 2.2.2.8.1.1–2.2.2.8.1.5, 2.2.2.8.2.1, 2.2.2.8.2.4 (pars. 1–2), 2.2.2.8.3.1, 2.2.2.8.5.3, 2.2.2.8.6.1, 2.2.2.8.6.5</t>
        </is>
      </c>
      <c r="F8" s="23" t="inlineStr">
        <is>
          <t>ANLA; CAR; autoridades ambientales urbanas; PNN según caso</t>
        </is>
      </c>
      <c r="G8" s="23" t="inlineStr">
        <is>
          <t>Nacional y regional</t>
        </is>
      </c>
      <c r="H8" s="23" t="inlineStr">
        <is>
          <t>PMR para instituciones nacionales de investigación; permiso individual según jurisdicción; especies amenazadas/vedadas/endémicas requieren autorización previa; PNN autoriza dentro del SPNN | Criterio exacto (art. 2.2.2.8.1.4), común al Permiso Marco y al Individual: CAR/CDS/grandes centros urbanos si la recolección es exclusivamente en su jurisdicción; ANLA si abarca dos o más autoridades; PNN dentro del SPNN.</t>
        </is>
      </c>
      <c r="I8" s="24" t="inlineStr">
        <is>
          <t>Art. 2.2.2.8.1.1 (p. 169): “Reglamentar el permiso de recolección de especímenes de especies silvestres de la diversidad biológica con fines de investigación científica no comercial.”
Art. 2.2.2.8.1.2, inc. 1 (p. 169): “El presente decreto se aplicará a las actividades de recolección de especímenes de especies silvestres de la diversidad biológica con fines de investigación científica no comercial, que se realice en el territorio nacional, sin perjuicio de lo dispuesto por la Ley 13 de 1990 acerca de la competencia de la Autoridad Nacional de Acuicultura y Pesca (AUNAP) o la entidad que haga sus veces, en materia de investigación científica de recursos pesqueros y de las competencias asignadas por la reglamentación única que se establezca para el Sector de Defensa en lo que concierne a la investigación científica o tecnológica marina.”
Art. 2.2.2.8.1.2, par. 4 (pp. 169–170): “PARÁGRAFO 4. La recolección de especímenes de especies silvestres de la diversidad biológica que se adelanta dentro de un proyecto de investigación, deberá tener la finalidad exclusiva de investigación científica no comercial. Las disposiciones de este decreto no aplican a la recolección de especímenes de especies silvestres de la diversidad biológica con fines industriales, comerciales o de prospección biológica.”
Art. 2.2.2.8.1.3 (definición) (p. 170): “Instituciones Nacionales de Investigación: Para los efectos del presente Decreto se entenderán por "Instituciones Nacionales de Investigación" las siguientes: a) Instituciones de educación superior. b) Colecciones biológicas vigentes registradas en el Registro Único Nacional de Colecciones Biológicas que administra el Instituto de Investigación de Recursos Biológicos "Alexander Von Humboldt". c) Institutos o centros de investigación científica que cuenten con grupos de investigación categorizados ante Colciencias en áreas temáticas asociadas a las actividades de recolección.”
Art. 2.2.2.8.1.3 (definición) (p. 170): “Recolección de especímenes: Consiste en los procesos de captura, remoción o extracción temporal o definitiva del medio natural de especímenes de la diversidad biológica para la obtención de información científica con fines no comerciales, la integración de inventarios o el incremento de los acervos de las colecciones científicas o museográficas.”
Art. 2.2.2.8.1.4 (p. 170): “Las autoridades ambientales competentes para el otorgamiento del Permiso de Recolección son: a) Las Corporaciones Autónomas Regionales o de desarrollo sostenible o los grandes centros urbanos, cuando las actividades de recolección se desarrollen exclusivamente en sus respectivas jurisdicciones. b) La Autoridad Nacional de Licencias Ambientales (ANLA), en caso de que las actividades de recolección se desarrollen en jurisdicción de dos o más autoridades ambientales. c) Parques Nacionales Naturales de Colombia, cuando las actividades de recolección se desarrollen dentro de las áreas del Sistema de Parques Nacionales Naturales.”
Art. 2.2.2.8.1.5 (p. 170): “El Permiso de Recolección podrá otorgarse bajo una de las siguientes modalidades: 1. Permiso Marco de Recolección. 2. Permiso Individual de Recolección.”
Art. 2.2.2.8.2.1 (p. 171): “Las Instituciones Nacionales de Investigación que pretendan recolectar especímenes de especies silvestres de la diversidad biológica, para adelantar proyectos de investigación científica no comercial, deberán solicitar a la autoridad ambiental competente la expedición de un Permiso Marco de Recolección que ampare todos los programas de investigación científica, que realicen los investigadores vinculados a la respectiva institución. PARÁGRAFO . La recolección de especímenes para fines docentes y educativos a nivel universitario deberá estar amparada por un Permiso Marco de Recolección vigente.”
Art. 2.2.2.8.3.1 (p. 172): “Las personas naturales o jurídicas que pretendan recolectar especímenes para adelantar un proyecto de investigación científica no comercial, deberán obtener un Permiso Individual de Recolección.”
Art. 2.2.2.8.2.4, par. 1 (p. 172): “PARÁGRAFO 1. En el caso de pretender recolectar especies amenazadas, vedadas o endémicas, el titular del Permiso Marco de Recolección deberá solicitar autorización previa a la autoridad competente para llevar a cabo dicho proyecto de acuerdo al Formato de Solicitud de Autorización de Recolección de Especies Amenazadas Vedadas o Endémicas. El cumplimiento de dicho requisito deberá ser reportado en los informes de que trata el presente artículo.”
Art. 2.2.2.8.2.4, par. 2, inc. 1 (p. 172): “PARÁGRAFO 2. El titular del Permiso Marco de Recolección que pretenda recolectar especímenes al interior de un área del Sistema de Parques Nacionales Naturales, deberá, previo a la recolección, obtener autorización de Parques Nacionales Naturales de Colombia. Para obtener dicha autorización, el solicitante deberá presentar ante Parques Nacionales Naturales de Colombia el Formato de Recolección de Especímenes dentro del Sistema de Parques Nacionales Naturales. Parques Nacionales Naturales de Colombia en un término de treinta (30) días contados a partir de la radicación del formato deberá resolver la solicitud y en caso de que haya lugar, establecer las condiciones que considere pertinentes para adelantar la recolección.”
Art. 2.2.2.8.5.3 (p. 174): “Los Permisos Marco de Recolección podrán otorgarse hasta por diez (10) años. Estos términos se contarán a partir de la expedición del permiso. Los Permiso Individuales de Recolección podrán otorgarse hasta por cinco (5) años. Estos términos se contarán a partir de la expedición del permiso.”
Art. 2.2.2.8.6.1 (p. 174): “Los especímenes o muestras obtenidos en ejercicio del permiso de que trata este decreto no podrán ser aprovechados con fines comerciales.”
Art. 2.2.2.8.6.5 (p. 175): “Como estímulo a la investigación científica, las autoridades competentes no realizarán ningún cobro de los servicios de evaluación y seguimiento a los Permisos de Recolección.”</t>
        </is>
      </c>
      <c r="J8"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8" s="23" t="inlineStr">
        <is>
          <t>Vigente</t>
        </is>
      </c>
      <c r="L8" s="23" t="inlineStr">
        <is>
          <t>Verificado</t>
        </is>
      </c>
      <c r="M8" s="24" t="inlineStr">
        <is>
          <t>https://www.funcionpublica.gov.co/eva/gestornormativo/norma.php?i=78153</t>
        </is>
      </c>
      <c r="N8" s="24" t="inlineStr">
        <is>
          <t>https://www.minambiente.gov.co/documento-normativa/decreto-1376-de-2013/</t>
        </is>
      </c>
      <c r="O8" s="24" t="inlineStr">
        <is>
          <t>6 oct. 2026</t>
        </is>
      </c>
      <c r="P8" s="26" t="inlineStr">
        <is>
          <t>Alta</t>
        </is>
      </c>
      <c r="Q8" s="23" t="inlineStr">
        <is>
          <t>Concepto jurídico MADS 2025 confirma que este régimen es para investigación científica no comercial y no para estudios ambientales. La competencia del permiso individual debe verificarse con el artículo compilado aplicable. RESUELTO (v6): la competencia está en el art. 2.2.2.8.1.4 y aplica a ambas modalidades. ADVERTENCIAS DE LECTURA: (1) PNN aparece como autoridad competente (art. 2.2.2.8.1.4, lit. c) y además como autorización previa para titulares de Permiso Marco (art. 2.2.2.8.2.4, par. 2); explicar ambas figuras. (2) La definición de Institución Nacional de Investigación cita "Colciencias"; la entidad hoy es MinCiencias (Ley 1951 de 2019, de memoria; no verificado contra fuente primaria). (3) Las entidades del SINA están exentas del permiso (par. 1, ver N08). (v7) CONCORDANCIA con la copia escaneada del Decreto 1376 de 2013 (OCR, cotejo visual del art. 2): el texto del DUR coincide con el original, salvo dos diferencias de compilación en el art. 2.2.2.8.1.2: (1) el inc. 1 original remite al "Decreto 644 de 1990" y el DUR a "la reglamentación única que se establezca para el Sector de Defensa"; (2) el par. 1 del DUR dice "Alexander Van Humboldt" y el original "Von": citar el DUR con [sic]. (v8) BRECHA DUR nov. 2025–oct. 2026: el Decreto 0973 de 2026 (mercados de carbono) modificó el DUR después de la fecha de actualización de la versión integrada; adiciona el Cap. 15 al Tít. 9 y deroga el Tít. 11 de la Parte 2 del Libro 2. No toca los Caps. 8–9 del Tít. 2. (v9) DISCREPANCIAS CON LA GUÍA ANLA IR-GU-04 (N39): (1) vigencia: el DUR cuenta desde la "expedición" (art. 2.2.2.8.5.3) y la guía desde la "ejecutoria"; (2) la guía agrega que la tesis de grado bajo Permiso Marco requiere aval del docente amparado. La guía no es norma; prevalece el DUR (la misma guía lo declara).</t>
        </is>
      </c>
      <c r="R8" s="23" t="inlineStr">
        <is>
          <t>Ninguno.</t>
        </is>
      </c>
      <c r="S8" s="23" t="inlineStr">
        <is>
          <t>—</t>
        </is>
      </c>
    </row>
    <row r="9" ht="408.75" customHeight="1" s="16">
      <c r="A9" s="23" t="inlineStr">
        <is>
          <t>N08</t>
        </is>
      </c>
      <c r="B9" s="23" t="inlineStr">
        <is>
          <t>4.4; 5.1</t>
        </is>
      </c>
      <c r="C9" s="23" t="inlineStr">
        <is>
          <t>Obligación de reportar datos de colecta al SiB Colombia</t>
        </is>
      </c>
      <c r="D9" s="23" t="inlineStr">
        <is>
          <t>Decreto 1376 de 2013, compilado en DUR 1076/2015</t>
        </is>
      </c>
      <c r="E9" s="23" t="inlineStr">
        <is>
          <t>Arts. 2.2.2.8.1.2 (pars. 1, 2 y 5), 2.2.2.8.1.3, 2.2.2.8.2.4 lit. e, 2.2.2.8.3.3 lit. d, 2.2.2.9.2.6 num. 6</t>
        </is>
      </c>
      <c r="F9" s="23" t="inlineStr">
        <is>
          <t>Titular del permiso; SiB Colombia / Instituto Humboldt como administrador del sistema</t>
        </is>
      </c>
      <c r="G9" s="23" t="inlineStr">
        <is>
          <t>Nacional</t>
        </is>
      </c>
      <c r="H9" s="23" t="inlineStr">
        <is>
          <t>Obligación asociada al permiso</t>
        </is>
      </c>
      <c r="I9" s="24" t="inlineStr">
        <is>
          <t>Art. 2.2.2.8.1.2, par. 1 (p. 169): “PARÁGRAFO 1. El Ministerio de Ambiente y Desarrollo Sostenible, sus entidades científicas adscritas y vinculadas, Parques Nacionales Naturales de Colombia, las Corporaciones Autónomas Regionales y/o de Desarrollo Sostenible y los Grandes Centros Urbanos no requerirán del Permiso de Recolección de especímenes del que trata este decreto. Los ejemplares deberán ser depositados en una colección previamente registrada ante el Instituto de Investigación de Recursos Biológicos "Alexander Van Humboldt" y la información asociada del proyecto de investigación científica deberá ser publicada en el Sistema de Información de Biodiversidad de Colombia (SiB).”
Art. 2.2.2.8.1.2, par. 2 (p. 169): “PARÁGRAFO 2. La recolección de especímenes de especies silvestres de la diversidad biológica para efectos de adelantar estudios de impacto ambiental, se regirá por la reglamentación específica expedida por el Gobierno Nacional para tal efecto, lo cual no exime a quien efectúe la recolección de suministrar la información asociada a los especímenes recolectados al Sistema de Información en Biodiversidad de Colombia (SiB).”
Art. 2.2.2.8.1.2, par. 5, inc. 2 (p. 170): “La realización de dichas actividades con especímenes recolectados, no exime al investigador de suministrar la información asociada al Sistema de Información en Biodiversidad de Colombia (SiB) y de remitir en forma digital al Ministerio de Ambiente y Desarrollo Sostenible las publicaciones derivadas de las mismas, quien deberá respetar los derechos de propiedad intelectual correspondientes.”
Art. 2.2.2.8.1.3 (definición) (p. 170): “Información asociada a los especímenes recolectados: Es aquella información básica inherente a los especímenes, tal como la taxonómica al mejor nivel de detalle posible; localidad de colecta (incluyendo altitud y coordenadas geográficas); fecha de colecta y colector, entre otras.”
Art. 2.2.2.8.2.4, lit. e (Permiso Marco) (pp. 171–172): “e) Suministrar al Sistema de Información en Biodiversidad de Colombia (SiB) la información asociada a los especímenes recolectados, y entregar a la autoridad competente la constancia emitida por dicho sistema.”
Art. 2.2.2.8.3.3, lit. d (Permiso Individual) (p. 173): “d) Suministrar al Sistema de Información en Biodiversidad de Colombia (SiB) la información asociada a los especímenes recolectados, y entregar a la autoridad competente la constancia emitida por dicho sistema.”
Art. 2.2.2.9.2.6, num. 6 (permiso de estudio) (p. 181): “6. Terminado el estudio, el titular del permiso deberá reportar al Sistema de Información sobre Biodiversidad de Colombia (SIB) la información asociada a los especímenes recolectados, y entregar a la autoridad ambiental la constancia emitida por dicho sistema.”</t>
        </is>
      </c>
      <c r="J9"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9" s="23" t="inlineStr">
        <is>
          <t>Vigente</t>
        </is>
      </c>
      <c r="L9" s="23" t="inlineStr">
        <is>
          <t>Verificado</t>
        </is>
      </c>
      <c r="M9" s="24" t="inlineStr">
        <is>
          <t>https://www.funcionpublica.gov.co/eva/gestornormativo/norma.php?i=78153</t>
        </is>
      </c>
      <c r="N9" s="24" t="inlineStr">
        <is>
          <t>https://sibcolombia.net/</t>
        </is>
      </c>
      <c r="O9" s="24" t="inlineStr">
        <is>
          <t>6 oct. 2026</t>
        </is>
      </c>
      <c r="P9" s="24" t="inlineStr">
        <is>
          <t>Alta</t>
        </is>
      </c>
      <c r="Q9" s="23" t="inlineStr">
        <is>
          <t>No atribuir al SiB la condición de autoridad que otorga permisos: el SiB es el sistema donde se publica/entrega información. HALLAZGO (v6): la obligación de reporte al SiB aplica a los tres regímenes: Permiso Marco, Permiso Individual, permiso de estudio (N09) y entidades exentas del SINA (par. 1). El permiso de estudio exige reporte "terminado el estudio". (v7) CONCORDANCIA con la copia escaneada del Decreto 1376 de 2013 (OCR, cotejo visual del art. 2): el texto del DUR coincide con el original, salvo dos diferencias de compilación en el art. 2.2.2.8.1.2: (1) el inc. 1 original remite al "Decreto 644 de 1990" y el DUR a "la reglamentación única que se establezca para el Sector de Defensa"; (2) el par. 1 del DUR dice "Alexander Van Humboldt" y el original "Von": citar el DUR con [sic]. (v8) BRECHA DUR nov. 2025–oct. 2026: el Decreto 0973 de 2026 (mercados de carbono) modificó el DUR después de la fecha de actualización de la versión integrada; adiciona el Cap. 15 al Tít. 9 y deroga el Tít. 11 de la Parte 2 del Libro 2. No toca los Caps. 8–9 del Tít. 2.</t>
        </is>
      </c>
      <c r="R9" s="23" t="inlineStr">
        <is>
          <t>Ninguno.</t>
        </is>
      </c>
      <c r="S9" s="23" t="inlineStr">
        <is>
          <t>—</t>
        </is>
      </c>
    </row>
    <row r="10" ht="408.75" customHeight="1" s="16">
      <c r="A10" s="23" t="inlineStr">
        <is>
          <t>N09</t>
        </is>
      </c>
      <c r="B10" s="23" t="inlineStr">
        <is>
          <t>4.1–4.2; 5.2</t>
        </is>
      </c>
      <c r="C10" s="23" t="inlineStr">
        <is>
          <t>Permiso de estudio para la elaboración de estudios ambientales</t>
        </is>
      </c>
      <c r="D10" s="23" t="inlineStr">
        <is>
          <t>Decreto 3016 de 2013, compilado en DUR 1076/2015</t>
        </is>
      </c>
      <c r="E10" s="23" t="inlineStr">
        <is>
          <t>Arts. 2.2.2.9.2.1–2.2.2.9.2.14 (Cap. 9, Secc. 2); citados: 2.2.2.9.2.1, 2.2.2.9.2.3, 2.2.2.9.2.6 num. 8, 2.2.2.9.2.7</t>
        </is>
      </c>
      <c r="F10" s="23" t="inlineStr">
        <is>
          <t>ANLA; CAR/autoridades ambientales urbanas; PNN</t>
        </is>
      </c>
      <c r="G10" s="23" t="inlineStr">
        <is>
          <t>Nacional y regional</t>
        </is>
      </c>
      <c r="H10" s="23" t="inlineStr">
        <is>
          <t>ANLA cuando recolección en jurisdicción de dos o más autoridades; CAR/autoridad urbana si exclusivamente en su jurisdicción; PNN si exclusivamente en SPNN</t>
        </is>
      </c>
      <c r="I10" s="24" t="inlineStr">
        <is>
          <t>Art. 2.2.2.9.2.1, incs. 1–2 (p. 179): “Toda persona que pretenda adelantar estudios en los que sea necesario realizar actividades de recolección de especímenes de especies silvestres de la diversidad biológica en el territorio nacional, con la finalidad de elaborar estudios ambientales necesarios para solicitar y/o modificar licencias ambientales o su equivalente, permisos, concesiones o autorizaciones deberá previamente solicitar a la autoridad ambiental competente la expedición del permiso que reglamenta el presente decreto. El permiso de que trata el presente decreto amparará la recolecta de especímenes que se realicen durante su vigencia en el marco de la elaboración de uno o varios estudios ambientales.”
Art. 2.2.2.9.2.1, par. 2 (p. 179): “PARÁGRAFO 2. La obtención del permiso de que trata el presente decreto constituye un trámite previo dentro del proceso de licenciamiento ambiental y no implica la autorización de acceso y aprovechamiento a recursos genéticos.”
Art. 2.2.2.9.2.3 (p. 180): “Las autoridades ambientales competentes para otorgar el permiso de que trata este Decreto, son: 1. Autoridad Nacional de Licencias Ambientales -ANLA-cuando de acuerdo con la solicitud del permiso las actividades de recolección se pretendan desarrollar en jurisdicción de dos o más autoridades ambientales. 2. Corporaciones Autónomas Regionales o de Desarrollo Sostenible, Autoridades Ambientales de los Grandes Centros Urbanos y las autoridades ambientales creadas en virtud de la Ley 768 de 2002, cuando las actividades de recolección pretendan desarrollar exclusivamente en sus respectivas jurisdicciones, de acuerdo con la solicitud del interesado. 3. Parques Nacionales Naturales de Colombia, cuando 'las actividades de recolección se pretendan desarrollar exclusivamente al interior de las áreas del' Sistema de Parques Nacionales Naturales.”
Art. 2.2.2.9.2.7 (p. 181): “El permiso de que trata la presente sección podrá tener una duración hasta de dos (2) años según la índole de los estudios. El término de estos permisos podrá ser prorrogado cuando la inejecución de los estudios, dentro del lapso de su vigencia, obedezca a fuerza mayor.”
Art. 2.2.2.9.2.6, num. 8 (p. 181): “8. Abstenerse de comercializar el material recolectado en el marco del permiso de que trata el presente decreto.”</t>
        </is>
      </c>
      <c r="J10"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10" s="23" t="inlineStr">
        <is>
          <t>Vigente</t>
        </is>
      </c>
      <c r="L10" s="23" t="inlineStr">
        <is>
          <t>Verificado</t>
        </is>
      </c>
      <c r="M10" s="24" t="inlineStr">
        <is>
          <t>https://www.funcionpublica.gov.co/eva/gestornormativo/norma.php?i=78153</t>
        </is>
      </c>
      <c r="N10" s="24" t="inlineStr">
        <is>
          <t>https://www.funcionpublica.gov.co/eva/gestornormativo/norma.php?i=78153</t>
        </is>
      </c>
      <c r="O10" s="24" t="inlineStr">
        <is>
          <t>6 oct. 2026</t>
        </is>
      </c>
      <c r="P10" s="24" t="inlineStr">
        <is>
          <t>Alta</t>
        </is>
      </c>
      <c r="Q10" s="23" t="inlineStr">
        <is>
          <t>El concepto jurídico MADS 2025 reafirma la separación entre este permiso y el régimen de investigación científica no comercial. (v6) Fuente oficial cambiada de la URL del PDF del DUR de 2021 (minambiente.gov.co/wp-content/uploads/2021/06/Decreto-1076-de-2015.pdf) a la versión integrada de Función Pública. En el art. 2.2.2.9.2.3, num. 3, el PDF de Función Pública muestra comillas simples alrededor de un fragmento; se transcribieron tal cual. La separación frente a N07 tiene base normativa directa: art. 2.2.2.8.1.2, par. 2, y art. 2.2.2.9.2.1, par. 2 (ver N33). (v8) BRECHA DUR nov. 2025–oct. 2026: el Decreto 0973 de 2026 (mercados de carbono) modificó el DUR después de la fecha de actualización de la versión integrada; adiciona el Cap. 15 al Tít. 9 y deroga el Tít. 11 de la Parte 2 del Libro 2. No toca los Caps. 8–9 del Tít. 2.</t>
        </is>
      </c>
      <c r="R10" s="23" t="inlineStr">
        <is>
          <t>Ninguno.</t>
        </is>
      </c>
      <c r="S10" s="23" t="inlineStr">
        <is>
          <t>—</t>
        </is>
      </c>
    </row>
    <row r="11" ht="408.75" customHeight="1" s="16">
      <c r="A11" s="23" t="inlineStr">
        <is>
          <t>N10</t>
        </is>
      </c>
      <c r="B11" s="23" t="inlineStr">
        <is>
          <t>4.4</t>
        </is>
      </c>
      <c r="C11" s="23" t="inlineStr">
        <is>
          <t>Colecciones biológicas: registro y depósito de especímenes</t>
        </is>
      </c>
      <c r="D11" s="23" t="inlineStr">
        <is>
          <t>Decreto 1375 de 2013, compilado en DUR 1076/2015</t>
        </is>
      </c>
      <c r="E11" s="23" t="inlineStr">
        <is>
          <t>Arts. 2.2.2.9.1.1–2.2.2.9.1.14 (Cap. 9, Secc. 1); citados: 2.2.2.9.1.5, 2.2.2.9.1.8; depósito: 2.2.2.8.3.3 lit. a</t>
        </is>
      </c>
      <c r="F11" s="23" t="inlineStr">
        <is>
          <t>Instituto Humboldt (RNC); autoridades ambientales según competencias</t>
        </is>
      </c>
      <c r="G11" s="23" t="inlineStr">
        <is>
          <t>Nacional</t>
        </is>
      </c>
      <c r="H11" s="23" t="inlineStr">
        <is>
          <t>Registro y obligaciones de colecciones</t>
        </is>
      </c>
      <c r="I11" s="24" t="inlineStr">
        <is>
          <t>Art. 2.2.2.9.1.5, inc. 1 (p. 176): “La persona natural o jurídica que administre una colección biológica deberá realizar el Registro Único de la Colección Biológica ante el Instituto de Investigación de Recursos Biológicos "Alexander Von Humboldt", de acuerdo con el procedimiento que se establece en el artículo 7 del presente decreto.”
Art. 2.2.2.9.1.8, incs. 1–3 y lit. a (p. 177): “Las colecciones biológicas registradas recibirán los especímenes legalmente colectados que cumplan con estándares adecuados de calidad y curaduría, y que se encuentren conforme a las normas de ingreso propias para cada colección. En el momento del depósito, la colección que recibe dichos especímenes deberá remitir al depositante el Formato de Constancia de Depósito. La colección biológica registrada podrá reservarse el derecho de recibir especímenes de la diversidad biológica por las siguientes razones: a) No Contar con el Permiso de Recolección de Especímenes Silvestres de la Diversidad Biológica con Fines de Investigación Científica No Comercial, o Permiso de Recolección de Especímenes de la Diversidad Biológica para elaboración de Estudios de Impacto Ambiental-EIA u otra documentación que acredite su procedencia legal.”
Art. 2.2.2.8.3.3, lit. a (pp. 172–173): “a) Depositar dentro del término de vigencia del permiso los especímenes en una colección nacional registrada ante el Instituto de Investigación de Recursos Biológicos "Alexander von Humboldt", de conformidad con lo dispuesto por la normatividad que regula la materia, y enviar copia de las constancias de depósito a la autoridad ambiental competente.” 
Art. 2.2.2.9.1.4, par. 1 (p. 176): “PARÁGRAFO 1. Las actividades de investigación científica básica con fines no comerciales que usen colecciones biológicas y que involucren actividades de sistemática molecular, ecología molecular, evolución y biogeografía molecular no configuran acceso al recurso genético de conformidad con el ámbito de aplicación del presente decreto.”
Art. 2.2.2.9.1.4, par. 2 (p. 176): “PARÁGRAFO 2. Para acceder a los recursos genéticos de los especímenes depositados en las colecciones biológicas con fines industriales, comerciales o de prospección biológica, el interesado deberá suscribir el contrato de acceso a recursos genéticos de conformidad con la legislación nacional vigente.” 
Art. 2.2.2.9.1.3 (definición) (p. 176): “Colección biológica: Conjunto de especímenes de la diversidad biológica preservados bajo estándares de curaduría especializada para cada uno de los grupos depositados en ella, los cuales deben estar debidamente catalogados, mantenidos y organizados taxonómicamente, de conformidad con lo establecido en el protocolo de manejo respectivo, que constituyen patrimonio de la Nación y que se encuentran bajo la administración de una persona natural o jurídica, tales como herbarios, museos de historia natural, bancos de germoplasma, bancos de tejidos y ADN, genotecas y ceparios y las demás que el Ministerio de Ambiente y Desarrollo Sostenible así lo considere.”</t>
        </is>
      </c>
      <c r="J11"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11" s="23" t="inlineStr">
        <is>
          <t>Vigente</t>
        </is>
      </c>
      <c r="L11" s="23" t="inlineStr">
        <is>
          <t>Verificado</t>
        </is>
      </c>
      <c r="M11" s="24" t="inlineStr">
        <is>
          <t>https://www.funcionpublica.gov.co/eva/gestornormativo/norma.php?i=78153</t>
        </is>
      </c>
      <c r="N11" s="25" t="inlineStr">
        <is>
          <t>https://www.minambiente.gov.co/</t>
        </is>
      </c>
      <c r="O11" s="24" t="inlineStr">
        <is>
          <t>6 oct. 2026</t>
        </is>
      </c>
      <c r="P11" s="24" t="inlineStr">
        <is>
          <t>Alta</t>
        </is>
      </c>
      <c r="Q11" s="23" t="inlineStr">
        <is>
          <t>Mantener separado el Registro Nacional de Colecciones de los permisos de recolección. RESUELTO (v6): colecciones = Cap. 9, Secc. 1 (Decreto 1375 de 2013); permiso de estudio = Cap. 9, Secc. 2 (Decreto 3016 de 2013). No hay inconsistencia con N09. Fuente oficial reemplazada por la versión integrada del DUR (la anterior apuntaba a contratos de acceso). Nota: el DUR dice "Registro Único Nacional de Colecciones Biológicas"; usar esa denominación en el texto. (v7) CONCORDANCIA: se cotejó la copia escaneada del Decreto 1375 de 2013 (OCR) con el DUR para los arts. 4, 5 y 8: texto concordante. Se agregó el par. 1 del art. 2.2.2.9.1.4 (Decreto 1375, art. 4), al que remite la Res. 1348/2014, art. 2, par. 2. (v8) BRECHA DUR nov. 2025–oct. 2026: el Decreto 0973 de 2026 (mercados de carbono) modificó el DUR después de la fecha de actualización de la versión integrada; adiciona el Cap. 15 al Tít. 9 y deroga el Tít. 11 de la Parte 2 del Libro 2. No toca los Caps. 8–9 del Tít. 2. (v9) Se agregó la definición de "colección biológica" (art. 2.2.2.9.1.3) para la tabla 2.1. Incluye expresamente "bancos de tejidos y ADN". (v9) La Guía ANLA (N39, obligación b) precisa el depósito "una vez finalizado cada proyecto"; el DUR solo exige depositar "dentro del término de la vigencia del permiso".</t>
        </is>
      </c>
      <c r="R11" s="23" t="inlineStr">
        <is>
          <t>Ninguno. Opcional: registrar la URL del trámite del Registro Único Nacional de Colecciones (Instituto Humboldt) como fuente complementaria.</t>
        </is>
      </c>
      <c r="S11" s="23" t="inlineStr">
        <is>
          <t>—</t>
        </is>
      </c>
    </row>
    <row r="12" ht="45.75" customHeight="1" s="16">
      <c r="A12" s="23" t="inlineStr">
        <is>
          <t>N11</t>
        </is>
      </c>
      <c r="B12" s="23" t="inlineStr">
        <is>
          <t>4.4</t>
        </is>
      </c>
      <c r="C12" s="23" t="inlineStr">
        <is>
          <t>Movilización de especímenes: Salvoconducto Único Nacional en Línea</t>
        </is>
      </c>
      <c r="D12" s="23" t="inlineStr">
        <is>
          <t>Resolución 1909 de 2017, modificada por Resolución 0081 de 2018</t>
        </is>
      </c>
      <c r="E12" s="23" t="inlineStr">
        <is>
          <t>SUNL; disposiciones de movilización</t>
        </is>
      </c>
      <c r="F12" s="23" t="inlineStr">
        <is>
          <t>Autoridad ambiental competente que expide el SUNL</t>
        </is>
      </c>
      <c r="G12" s="23" t="inlineStr">
        <is>
          <t>Nacional</t>
        </is>
      </c>
      <c r="H12" s="23" t="inlineStr">
        <is>
          <t>Movilización legal de especímenes/productos sujetos al SUNL</t>
        </is>
      </c>
      <c r="I12" s="25" t="n"/>
      <c r="J12" s="24" t="n"/>
      <c r="K12" s="23" t="inlineStr">
        <is>
          <t>Vigente con modificación</t>
        </is>
      </c>
      <c r="L12" s="23" t="inlineStr">
        <is>
          <t>Vigencia verificada</t>
        </is>
      </c>
      <c r="M12" s="24" t="inlineStr">
        <is>
          <t>https://www.minambiente.gov.co/documento-normativa/resolucion-1909-de-2017/</t>
        </is>
      </c>
      <c r="N12" s="24" t="inlineStr">
        <is>
          <t>https://www.minambiente.gov.co/documento-normativa/resolucion-1909-de-2017/</t>
        </is>
      </c>
      <c r="O12" s="24" t="inlineStr">
        <is>
          <t>6 oct. 2026</t>
        </is>
      </c>
      <c r="P12" s="24" t="inlineStr">
        <is>
          <t>Alta</t>
        </is>
      </c>
      <c r="Q12" s="23" t="inlineStr">
        <is>
          <t>No limitar la descripción a productos forestales: la resolución establece el SUNL para movilización de especímenes de la diversidad biológica. La Resolución 0081/2018 modificó la 1909. EVIDENCIA CRUZADA (v6, DUR art. 2.2.2.8.6.6, p. 175): la resolución que otorga el permiso de recolección incluye la autorización de movilización y "no se requiere de salvoconducto adicional alguno". El SUNL aplica a especímenes no amparados por permiso de recolección.</t>
        </is>
      </c>
      <c r="R12" s="23" t="inlineStr">
        <is>
          <t>Extraer texto literal del alcance del SUNL (qué especímenes cubre).</t>
        </is>
      </c>
      <c r="S12" s="23" t="inlineStr">
        <is>
          <t>Media</t>
        </is>
      </c>
    </row>
    <row r="13" ht="68.25" customHeight="1" s="16">
      <c r="A13" s="23" t="inlineStr">
        <is>
          <t>N12</t>
        </is>
      </c>
      <c r="B13" s="23" t="inlineStr">
        <is>
          <t>4.4</t>
        </is>
      </c>
      <c r="C13" s="23" t="inlineStr">
        <is>
          <t>Exportación e importación de especímenes CITES</t>
        </is>
      </c>
      <c r="D13" s="23" t="inlineStr">
        <is>
          <t>Ley 17 de 1981; Decreto 1401 de 1997</t>
        </is>
      </c>
      <c r="E13" s="23" t="inlineStr">
        <is>
          <t>CITES; permisos/certificados de exportación, reexportación e importación</t>
        </is>
      </c>
      <c r="F13" s="23" t="inlineStr">
        <is>
          <t>MADS – Dirección de Bosques, Biodiversidad y Servicios Ecosistémicos (Autoridad Administrativa CITES); autoridades científicas según CITES</t>
        </is>
      </c>
      <c r="G13" s="23" t="inlineStr">
        <is>
          <t>Nacional</t>
        </is>
      </c>
      <c r="H13" s="23" t="inlineStr">
        <is>
          <t>Comercio internacional de especies CITES</t>
        </is>
      </c>
      <c r="I13" s="25" t="n"/>
      <c r="J13" s="24" t="n"/>
      <c r="K13" s="23" t="inlineStr">
        <is>
          <t>Vigente</t>
        </is>
      </c>
      <c r="L13" s="23" t="inlineStr">
        <is>
          <t>Vigencia verificada</t>
        </is>
      </c>
      <c r="M13" s="24" t="inlineStr">
        <is>
          <t>https://www.minambiente.gov.co/tramites-y-servicios/mas-informacion-permisos-cites/</t>
        </is>
      </c>
      <c r="N13" s="24" t="inlineStr">
        <is>
          <t>https://www.minambiente.gov.co/tramites-y-servicios/mas-informacion-permisos-cites/</t>
        </is>
      </c>
      <c r="O13" s="24" t="inlineStr">
        <is>
          <t>6 oct. 2026</t>
        </is>
      </c>
      <c r="P13" s="24" t="inlineStr">
        <is>
          <t>Alta</t>
        </is>
      </c>
      <c r="Q13" s="23" t="inlineStr">
        <is>
          <t>El Decreto 1401/1997 designa la Autoridad Administrativa CITES. La página oficial de permisos CITES fue actualizada en 2026. (v7) EVIDENCIA CRUZADA: el Decreto-Ley 3570 de 2011, art. 16, num. 13 (N37), asigna a la Dirección de Bosques, Biodiversidad y Servicios Ecosistémicos la autoridad administrativa CITES y la expedición de certificados.</t>
        </is>
      </c>
      <c r="R13" s="23" t="inlineStr">
        <is>
          <t>Texto literal del Decreto 1401/1997 sobre Autoridad Administrativa CITES.</t>
        </is>
      </c>
      <c r="S13" s="23" t="inlineStr">
        <is>
          <t>Media</t>
        </is>
      </c>
    </row>
    <row r="14" ht="102" customHeight="1" s="16">
      <c r="A14" s="23" t="inlineStr">
        <is>
          <t>N13</t>
        </is>
      </c>
      <c r="B14" s="23" t="inlineStr">
        <is>
          <t>4.4</t>
        </is>
      </c>
      <c r="C14" s="23" t="inlineStr">
        <is>
          <t>Exportación e importación de material biológico (requisitos sanitarios)</t>
        </is>
      </c>
      <c r="D14" s="23" t="inlineStr">
        <is>
          <t>Normativa sanitaria ICA aplicable según naturaleza del material y país de destino</t>
        </is>
      </c>
      <c r="E14" s="23" t="inlineStr">
        <is>
          <t>CZE/CIS y requisitos sanitarios para material biológico animal, diagnóstico/investigación y material vegetal según corresponda</t>
        </is>
      </c>
      <c r="F14" s="23" t="inlineStr">
        <is>
          <t>ICA</t>
        </is>
      </c>
      <c r="G14" s="23" t="inlineStr">
        <is>
          <t>Nacional</t>
        </is>
      </c>
      <c r="H14" s="23" t="inlineStr">
        <is>
          <t>Requisitos sanitarios/fitosanitarios; dependen del material y destino</t>
        </is>
      </c>
      <c r="I14" s="25" t="n"/>
      <c r="J14" s="24" t="n"/>
      <c r="K14" s="23" t="inlineStr">
        <is>
          <t>Vigente, caso-específica</t>
        </is>
      </c>
      <c r="L14" s="23" t="inlineStr">
        <is>
          <t>Vigencia verificada</t>
        </is>
      </c>
      <c r="M14" s="24" t="inlineStr">
        <is>
          <t>https://www.ica.gov.co/importacion-y-exportacion/procedimientos-para-exportarcion/procedimiento-para-solicitar-el-certificado-zoosanitario-para-exportacion</t>
        </is>
      </c>
      <c r="N14" s="24" t="inlineStr">
        <is>
          <t>https://www.ica.gov.co/</t>
        </is>
      </c>
      <c r="O14" s="24" t="inlineStr">
        <is>
          <t>6 oct. 2026</t>
        </is>
      </c>
      <c r="P14" s="24" t="inlineStr">
        <is>
          <t>Media</t>
        </is>
      </c>
      <c r="Q14" s="23" t="inlineStr">
        <is>
          <t>No existe una única resolución general para todo 'material biológico'. Mantener esta fila como marco operativo y exigir identificar el producto/material concreto antes de citar una resolución sanitaria.</t>
        </is>
      </c>
      <c r="R14" s="23" t="inlineStr">
        <is>
          <t>Caso-específica: en el capítulo tratar como remisión al ICA, sin citar resolución general.</t>
        </is>
      </c>
      <c r="S14" s="23" t="inlineStr">
        <is>
          <t>Baja</t>
        </is>
      </c>
    </row>
    <row r="15" ht="408.75" customHeight="1" s="16">
      <c r="A15" s="23" t="inlineStr">
        <is>
          <t>N14</t>
        </is>
      </c>
      <c r="B15" s="23" t="inlineStr">
        <is>
          <t>5.3</t>
        </is>
      </c>
      <c r="C15" s="23" t="inlineStr">
        <is>
          <t>Régimen común de acceso a recursos genéticos</t>
        </is>
      </c>
      <c r="D15" s="23" t="inlineStr">
        <is>
          <t>Decisión Andina 391 de 1996</t>
        </is>
      </c>
      <c r="E15" s="23" t="inlineStr">
        <is>
          <t>Art. 1 (definiciones: acceso, contrato de acceso, producto derivado, recursos genéticos, diversidad biológica); arts. 3, 4, 6, 16; art. 17, lits. g y h; art. 36</t>
        </is>
      </c>
      <c r="F15" s="23" t="inlineStr">
        <is>
          <t>MADS como Autoridad Nacional Competente</t>
        </is>
      </c>
      <c r="G15" s="23" t="inlineStr">
        <is>
          <t>Comunitario / nacional</t>
        </is>
      </c>
      <c r="H15" s="23" t="inlineStr">
        <is>
          <t>Acceso a recursos genéticos y productos derivados</t>
        </is>
      </c>
      <c r="I15" s="24" t="inlineStr">
        <is>
          <t>Art. 1, "ACCESO" (p. 2): “ACCESO: obtención y utilización de los recursos genéticos conservados en condiciones ex situ e in situ, de sus productos derivados o, de ser el caso, de sus componentes intangibles, con fines de investigación, prospección biológica, conservación, aplicación industrial o aprovechamiento comercial, entre otros.”
Art. 1, "CONTRATO DE ACCESO" (p. 2): “CONTRATO DE ACCESO: acuerdo entre la Autoridad Nacional Competente en representación del Estado y una persona, el cual establece los términos y condiciones para el acceso a recursos genéticos, sus productos derivados y, de ser el caso, el componente intangible asociado.”
Art. 1, "PRODUCTO DERIVADO" (p. 2): “PRODUCTO DERIVADO: molécula, combinación o mezcla de moléculas naturales, incluyendo extractos crudos de organismos vivos o muertos de origen biológico, provenientes del metabolismo de seres vivos.”
Art. 1, "RECURSOS GENETICOS" (p. 3): “RECURSOS GENETICOS: todo material de naturaleza biológica que contenga información genética de valor o utilidad real o potencial.”
Art. 3 (p. 3): “La presente Decisión es aplicable a los recursos genéticos de los cuales los Países Miembros son países de origen, a sus productos derivados, a sus componentes intangibles y a los recursos genéticos de las especies migratorias que por causas naturales se encuentren en el territorio de los Países Miembros.”
Art. 4 (pp. 3–4): “Se excluyen del ámbito de esta Decisión: a) Los recursos genéticos humanos y sus productos derivados; y, b) El intercambio de recursos genéticos, sus productos derivados, los recursos biológicos que los contienen, o de los componentes intangibles asociados a éstos, que realicen las comunidades indígenas, afroamericanas y locales de los Países Miembros entre sí y para su propio consumo, basadas en sus prácticas consuetudinarias.”
Art. 6 (p. 4): “Los recursos genéticos y sus productos derivados, de los cuales los Países Miembros son países de origen, son bienes o patrimonio de la Nación o del Estado de cada País Miembro, de conformidad con lo establecido en sus respectivas legislaciones internas. Dichos recursos son inalienables, imprescriptibles e inembargables, sin perjuicio de los regímenes de propiedad aplicables sobre los recursos biológicos que los contienen, el predio en que se encuentran, o el componente intangible asociado.”
Art. 16 (p. 5): “Todo procedimiento de acceso requerirá de la presentación, admisión, publicación y aprobación de una solicitud, de la suscripción de un contrato, de la emisión y publicación de la correspondiente Resolución y del registro declarativo de los actos vinculados con dicho acceso.”
Art. 17, lits. g y h (p. 6): “g) El depósito obligatorio de duplicados de todo material recolectado, en instituciones designadas por la Autoridad Nacional Competente; h) La obligación de poner en conocimiento de la Autoridad Nacional Competente los resultados de las investigaciones realizadas; e,”
Art. 36 (p. 8): “La Autoridad Nacional Competente podrá celebrar contratos de acceso marco con universidades, centros de investigación o investigadores reconocidos, que amparen la ejecución de varios proyectos, de conformidad con lo previsto en esta Decisión y en concordancia con la legislación nacional de cada País Miembro.”
Art. 1, "DIVERSIDAD BIOLOGICA" (p. 2): “DIVERSIDAD BIOLOGICA: variabilidad de organismos vivos de cualquier fuente, incluidos, entre otros, los ecosistemas terrestres y marinos, y otros ecosistemas acuáticos, así como los complejos ecológicos de los que forman parte. Comprende la diversidad existente dentro de cada especie, entre las especies y de ecosistemas, como resultado de procesos naturales y culturales.”</t>
        </is>
      </c>
      <c r="J15" s="24" t="inlineStr">
        <is>
          <t>Fuente: Gaceta Oficial del Acuerdo de Cartagena, Año XII, No. 213, Lima, 17 jul. 1996 (publicación original). El documento no trae notas de vigencia; la vigencia se sostiene en la verificación previa registrada en esta fila (K = Vigente). Páginas = numeración de la Gaceta (x/16), que coincide con la del PDF.</t>
        </is>
      </c>
      <c r="K15" s="23" t="inlineStr">
        <is>
          <t>Vigente</t>
        </is>
      </c>
      <c r="L15" s="23" t="inlineStr">
        <is>
          <t>Verificado</t>
        </is>
      </c>
      <c r="M15" s="24" t="inlineStr">
        <is>
          <t>https://www.minambiente.gov.co/direccion-de-bosques-biodiversidad-y-servicios-ecosistemicos/recursos-geneticos-2/</t>
        </is>
      </c>
      <c r="N15" s="24" t="inlineStr">
        <is>
          <t>https://www.minambiente.gov.co/direccion-de-bosques-biodiversidad-y-servicios-ecosistemicos/recursos-geneticos-2/</t>
        </is>
      </c>
      <c r="O15" s="24" t="inlineStr">
        <is>
          <t>6 oct. 2026</t>
        </is>
      </c>
      <c r="P15" s="24" t="inlineStr">
        <is>
          <t>Alta</t>
        </is>
      </c>
      <c r="Q15" s="23" t="inlineStr">
        <is>
          <t>Es la norma central de ABS en Colombia. Complementar con Resoluciones 1348/2014 y 1352/2017 y Decreto 1076/2015. HALLAZGO CRÍTICO (v7): la definición de ACCESO del art. 1 incluye expresamente los fines "de investigación" y "conservación", mientras que el DUR (art. 2.2.2.8.1.2, par. 5; art. 2.2.2.9.1.4, par. 1) y la Res. 1348/2014 (art. 2, par. 2) excluyen del acceso la sistemática molecular, la ecología molecular, la evolución y la biogeografía bajo permiso no comercial. La norma comunitaria es de jerarquía superior; la tensión no debe resolverse por inferencia en el capítulo: requiere sustento en literatura jurídica revisada por pares o en jurisprudencia del Tribunal de Justicia de la CAN. El art. 17, lit. g, exige depósito de duplicados, en paralelo al depósito en colecciones del DUR. El art. 36 prevé contratos de acceso marco con universidades y centros de investigación. La designación del MADS como Autoridad Nacional Competente está en el Decreto 730 de 1997 (citado en los considerandos de la Res. 1348/2014), que no tiene fila propia.</t>
        </is>
      </c>
      <c r="R15" s="23" t="inlineStr">
        <is>
          <t>Ninguno.</t>
        </is>
      </c>
      <c r="S15" s="23" t="inlineStr">
        <is>
          <t>—</t>
        </is>
      </c>
    </row>
    <row r="16" ht="408.75" customHeight="1" s="16">
      <c r="A16" s="23" t="inlineStr">
        <is>
          <t>N15</t>
        </is>
      </c>
      <c r="B16" s="23" t="inlineStr">
        <is>
          <t>5.3</t>
        </is>
      </c>
      <c r="C16" s="23" t="inlineStr">
        <is>
          <t>Actividades que configuran acceso a recursos genéticos</t>
        </is>
      </c>
      <c r="D16" s="23" t="inlineStr">
        <is>
          <t>Resolución 1348 de 2014, modificada por Resolución 1352 de 2017</t>
        </is>
      </c>
      <c r="E16" s="23" t="inlineStr">
        <is>
          <t>Res. 1348/2014: arts. 1 y 2 (nums. 1–2, pars. 1–2); Res. 1352/2017: arts. 1, 2 (par. 3 adicionado) y 3</t>
        </is>
      </c>
      <c r="F16" s="23" t="inlineStr">
        <is>
          <t>MADS</t>
        </is>
      </c>
      <c r="G16" s="23" t="inlineStr">
        <is>
          <t>Nacional</t>
        </is>
      </c>
      <c r="H16" s="23" t="inlineStr">
        <is>
          <t>Determinación de si la actividad configura acceso</t>
        </is>
      </c>
      <c r="I16" s="24" t="inlineStr">
        <is>
          <t>Res. 1348/2014, art. 1 (p. 3): “La presente resolución tiene por objeto establecer las actividades que configuran acceso a los recursos genéticos y sus productos derivados para la adecuada aplicación de la Decisión Andina 391 de 1996 en Colombia. La presente Resolución aplica para todas las personas naturales o jurídicas nacionales o extranjeras que pretendan acceder a los recursos genéticos y sus productos derivados de Colombia.”
Res. 1348/2014, art. 2, encabezado y nums. 1–2 (p. 3): “Actividades que configuran acceso a los recursos genéticos y sus productivos [sic] derivados. Configuran acceso a los recursos genéticos y sus productos derivados las siguientes actividades que se realicen con especies nativas, bien sea en sus formas silvestre, domesticada, cultivada o escapada de domesticación, incluyendo virus, viroides y similares, que se encuentren en el territorio nacional o fuera de este: 1. Las que pretendan la separación de las unidades funcionales y no funcionales del ADN y/o el ARN, en todas las formas que se encuentren en la naturaleza. 2. Las que pretendan el aislamiento de una o varias moléculas, entendidas éstas como micro y macromoléculas, producidas por el metabolismo de un organismo.” [El num. 3 fue suprimido por el art. 1 de la Res. 1352/2017.]
Res. 1348/2014, art. 2, par. 1 (p. 3): “Para los efectos del presente artículo, entiéndase por unidades funcionales de la herencia, aquellas que contienen el código para un gen o que realizan alguna actividad a nivel molecular y por unidades no funcionales de la herencia, aquellas a las que aún no se les ha identificado una funcionalidad.”
Res. 1348/2014, art. 2, par. 2 (p. 4): “No configuran acceso a los recursos genéticos y sus productos derivados además de lo dispuesto en el parágrafo 1 del artículo 4 del Decreto 1375 y el parágrafo 5 del artículo 2 del Decreto 1376 de 2013,las actividades señaladas en este artículo, que se realicen sobre los recursos genéticos y productos derivados de especies introducidas en sus formas silvestre, domesticada, cultivada o escapada de domesticación y los de origen humano.”
Res. 1352/2017, art. 1 (p. 3): “Suprimir el numeral 3 del Artículo 2 de la Resolución 1348 de 2014.”
Res. 1352/2017, art. 2 (p. 3), par. 3 adicionado al art. 2 de la Res. 1348/2014: “Cuando se pretenda una solicitud de patente para productos o procedimientos obtenidos o desarrollados a partir de recursos genéticos o de sus productos derivados, el solicitante deberá presentar ante la oficina nacional competente, copia del contrato de acceso a los recursos genéticos y sus productos derivados, en atención a las disposiciones contempladas en la Decisión andina 486 de 2000.”
Res. 1352/2017, art. 3 (p. 3): “Los demás términos, condiciones y obligaciones establecidas en la Resolución 1348 de 2014 que no han sido objeto de modificación y/o aclaración en el presente acto administrativo, continúan vigentes.”</t>
        </is>
      </c>
      <c r="J16" s="24" t="inlineStr">
        <is>
          <t>Res. 1348 de 14 ago. 2014 y Res. 1352 de 11 jul. 2017 (números y fechas leídos en el sello de la copia escaneada). La Res. 1352/2017 suprimió el num. 3 del art. 2 y adicionó el par. 3; su art. 3 mantiene vigente lo demás. Las copias escaneadas no traen notas de vigencia posteriores a 2017; la vigencia se sostiene en la verificación previa registrada en esta fila.</t>
        </is>
      </c>
      <c r="K16" s="23" t="inlineStr">
        <is>
          <t>Vigente con modificación</t>
        </is>
      </c>
      <c r="L16" s="23" t="inlineStr">
        <is>
          <t>Verificado</t>
        </is>
      </c>
      <c r="M16" s="24" t="inlineStr">
        <is>
          <t>https://www.minambiente.gov.co/direccion-de-bosques-biodiversidad-y-servicios-ecosistemicos/recursos-geneticos-2/</t>
        </is>
      </c>
      <c r="N16" s="24" t="inlineStr">
        <is>
          <t>https://www.minambiente.gov.co/direccion-de-bosques-biodiversidad-y-servicios-ecosistemicos/recursos-geneticos-2/</t>
        </is>
      </c>
      <c r="O16" s="24" t="inlineStr">
        <is>
          <t>6 oct. 2026</t>
        </is>
      </c>
      <c r="P16" s="24" t="inlineStr">
        <is>
          <t>Alta</t>
        </is>
      </c>
      <c r="Q16" s="23" t="inlineStr">
        <is>
          <t>Muy relevante para secuenciación, aislamiento/purificación, productos derivados y actividades de bioprospección. No asumir que todo DNA barcoding/eDNA constituye automáticamente acceso: analizar metodología y finalidad. EVIDENCIA CRUZADA (v6, DUR art. 2.2.2.8.1.2, par. 5, p. 170): la sistemática molecular, ecología molecular, evolución y biogeografía realizadas bajo permiso de recolección no comercial "no configuran acceso al recurso genético". El par. 6 exige contrato de acceso para fines industriales, comerciales o de prospección. Contrastar con la Resolución 1348/2014 para barcoding y eDNA en 5.3. (v7) MÉTODO: ambas resoluciones son copias escaneadas; el texto se obtuvo por OCR y se cotejó visualmente con la imagen. Se respetó la errata "productivos derivados" del encabezado del art. 2 [sic]. VACÍOS INTERPRETATIVOS PARA 5.3 (no resolver por inferencia): (1) la exclusión del par. 2 opera solo bajo permiso de recolección o con colecciones; la secuenciación de especies nativas fuera de esos marcos cae en el num. 1; (2) el ADN ambiental (eDNA) de muestras de agua o suelo no encaja claramente en la definición de "espécimen" del DUR (art. 2.2.2.8.1.3); (3) la tensión con la definición de ACCESO de la Decisión 391 (ver N14). El par. 2 también excluye especies introducidas y recursos de origen humano. (v9) La Guía ANLA (N39, p. 4) responde parcialmente el vacío del eDNA: exige permiso si se recolectan especímenes "(individuos, ADN, invertebrados, microorganismos entre otros)" asociados a muestras de agua y suelo. Es interpretación administrativa de la ANLA, no norma; no resuelve si el eDNA configura acceso.</t>
        </is>
      </c>
      <c r="R16" s="23" t="inlineStr">
        <is>
          <t>Ninguno.</t>
        </is>
      </c>
      <c r="S16" s="23" t="inlineStr">
        <is>
          <t>—</t>
        </is>
      </c>
    </row>
    <row r="17" ht="34.5" customHeight="1" s="16">
      <c r="A17" s="23" t="inlineStr">
        <is>
          <t>N16</t>
        </is>
      </c>
      <c r="B17" s="23" t="inlineStr">
        <is>
          <t>5.3</t>
        </is>
      </c>
      <c r="C17" s="23" t="inlineStr">
        <is>
          <t>Protocolo de Nagoya: posición de Colombia</t>
        </is>
      </c>
      <c r="D17" s="23" t="inlineStr">
        <is>
          <t>Protocolo de Nagoya (2010)</t>
        </is>
      </c>
      <c r="E17" s="23" t="inlineStr">
        <is>
          <t>—</t>
        </is>
      </c>
      <c r="F17" s="23" t="inlineStr">
        <is>
          <t>—</t>
        </is>
      </c>
      <c r="G17" s="23" t="inlineStr">
        <is>
          <t>Internacional</t>
        </is>
      </c>
      <c r="H17" s="23" t="inlineStr">
        <is>
          <t>ABS internacional</t>
        </is>
      </c>
      <c r="I17" s="25" t="n"/>
      <c r="J17" s="24" t="n"/>
      <c r="K17" s="23" t="inlineStr">
        <is>
          <t>Colombia NO es Parte; signataria desde 2 feb. 2011</t>
        </is>
      </c>
      <c r="L17" s="23" t="inlineStr">
        <is>
          <t>Vigencia verificada</t>
        </is>
      </c>
      <c r="M17" s="24" t="inlineStr">
        <is>
          <t>https://www.cbd.int/countries/nfp?country=co</t>
        </is>
      </c>
      <c r="N17" s="24" t="inlineStr">
        <is>
          <t>https://www.cbd.int/countries/nfp?country=co</t>
        </is>
      </c>
      <c r="O17" s="24" t="inlineStr">
        <is>
          <t>6 oct. 2026</t>
        </is>
      </c>
      <c r="P17" s="24" t="inlineStr">
        <is>
          <t>Alta</t>
        </is>
      </c>
      <c r="Q17" s="23" t="inlineStr">
        <is>
          <t>Debe corregirse la fila: Colombia firmó el Protocolo pero actualmente figura como 'Non Party'. No presentarlo como tratado ratificado por Colombia.</t>
        </is>
      </c>
      <c r="R17" s="23" t="inlineStr">
        <is>
          <t>Ninguno: estado confirmado en perfil de país del CBD.</t>
        </is>
      </c>
      <c r="S17" s="23" t="inlineStr">
        <is>
          <t>Baja</t>
        </is>
      </c>
    </row>
    <row r="18" ht="79.5" customHeight="1" s="16">
      <c r="A18" s="23" t="inlineStr">
        <is>
          <t>N17</t>
        </is>
      </c>
      <c r="B18" s="23" t="inlineStr">
        <is>
          <t>5.3</t>
        </is>
      </c>
      <c r="C18" s="23" t="inlineStr">
        <is>
          <t>Envío de muestras al exterior para secuenciación (acuerdos de transferencia de material)</t>
        </is>
      </c>
      <c r="D18" s="23" t="inlineStr">
        <is>
          <t>Decisión Andina 391/1996; Resoluciones 1348/2014 y 1352/2017; condiciones contractuales aplicables</t>
        </is>
      </c>
      <c r="E18" s="23" t="inlineStr">
        <is>
          <t>Acceso a RG/productos derivados, transferencia de muestras y contratos/convenios</t>
        </is>
      </c>
      <c r="F18" s="23" t="inlineStr">
        <is>
          <t>MADS; instituciones participantes</t>
        </is>
      </c>
      <c r="G18" s="23" t="inlineStr">
        <is>
          <t>Nacional / internacional</t>
        </is>
      </c>
      <c r="H18" s="23" t="inlineStr">
        <is>
          <t>Depende de si la actividad constituye acceso y de las condiciones del contrato/proyecto; además pueden aplicar requisitos sanitarios, CITES, bioseguridad y derechos de propiedad intelectual</t>
        </is>
      </c>
      <c r="I18" s="25" t="n"/>
      <c r="J18" s="24" t="n"/>
      <c r="K18" s="23" t="inlineStr">
        <is>
          <t>Vigente; caso-específica</t>
        </is>
      </c>
      <c r="L18" s="23" t="inlineStr">
        <is>
          <t>Vigencia verificada</t>
        </is>
      </c>
      <c r="M18" s="24" t="inlineStr">
        <is>
          <t>https://www.minambiente.gov.co/direccion-de-bosques-biodiversidad-y-servicios-ecosistemicos/recursos-geneticos-2/</t>
        </is>
      </c>
      <c r="N18" s="24" t="inlineStr">
        <is>
          <t>https://www.minambiente.gov.co/direccion-de-bosques-biodiversidad-y-servicios-ecosistemicos/recursos-geneticos-2/</t>
        </is>
      </c>
      <c r="O18" s="24" t="inlineStr">
        <is>
          <t>6 oct. 2026</t>
        </is>
      </c>
      <c r="P18" s="24" t="inlineStr">
        <is>
          <t>Alta</t>
        </is>
      </c>
      <c r="Q18" s="23" t="inlineStr">
        <is>
          <t>No hay una única 'ley de MTAs' ambiental que resuelva todo envío al exterior. Recomendar MTA institucional cuando proceda y concepto/contrato de acceso del MADS si la actividad configura acceso.</t>
        </is>
      </c>
      <c r="R18" s="23" t="inlineStr">
        <is>
          <t>Ninguno normativo; desarrollar en 5.3 como análisis caso-específico.</t>
        </is>
      </c>
      <c r="S18" s="23" t="inlineStr">
        <is>
          <t>Media</t>
        </is>
      </c>
    </row>
    <row r="19" ht="57" customHeight="1" s="16">
      <c r="A19" s="23" t="inlineStr">
        <is>
          <t>N18</t>
        </is>
      </c>
      <c r="B19" s="23" t="inlineStr">
        <is>
          <t>4.2</t>
        </is>
      </c>
      <c r="C19" s="23" t="inlineStr">
        <is>
          <t>Investigación en áreas del Sistema de Parques Nacionales Naturales</t>
        </is>
      </c>
      <c r="D19" s="23" t="inlineStr">
        <is>
          <t>Decreto 622 de 1977, compilado en DUR 1076/2015</t>
        </is>
      </c>
      <c r="E19" s="23" t="inlineStr">
        <is>
          <t>Régimen del SPNN; investigación y autorizaciones dentro de áreas</t>
        </is>
      </c>
      <c r="F19" s="23" t="inlineStr">
        <is>
          <t>PNN</t>
        </is>
      </c>
      <c r="G19" s="23" t="inlineStr">
        <is>
          <t>Nacional</t>
        </is>
      </c>
      <c r="H19" s="23" t="inlineStr">
        <is>
          <t>Exclusivamente dentro del SPNN</t>
        </is>
      </c>
      <c r="I19" s="25" t="n"/>
      <c r="J19" s="24" t="n"/>
      <c r="K19" s="23" t="inlineStr">
        <is>
          <t>Vigente, compilado</t>
        </is>
      </c>
      <c r="L19" s="23" t="inlineStr">
        <is>
          <t>Vigencia verificada</t>
        </is>
      </c>
      <c r="M19" s="24" t="inlineStr">
        <is>
          <t>https://www.parquesnacionales.gov.co/</t>
        </is>
      </c>
      <c r="N19" s="24" t="inlineStr">
        <is>
          <t>https://www.parquesnacionales.gov.co/</t>
        </is>
      </c>
      <c r="O19" s="24" t="inlineStr">
        <is>
          <t>6 oct. 2026</t>
        </is>
      </c>
      <c r="P19" s="24" t="inlineStr">
        <is>
          <t>Alta</t>
        </is>
      </c>
      <c r="Q19" s="23" t="inlineStr">
        <is>
          <t>La autorización de PNN puede ser adicional al permiso de recolección y puede llevar implícito el derecho de ingreso al área según el régimen aplicable.</t>
        </is>
      </c>
      <c r="R19" s="23" t="inlineStr">
        <is>
          <t>Texto literal sobre autorización de investigación en el SPNN.</t>
        </is>
      </c>
      <c r="S19" s="23" t="inlineStr">
        <is>
          <t>Media</t>
        </is>
      </c>
    </row>
    <row r="20" ht="45.75" customHeight="1" s="16">
      <c r="A20" s="23" t="inlineStr">
        <is>
          <t>N19</t>
        </is>
      </c>
      <c r="B20" s="23" t="inlineStr">
        <is>
          <t>4.2</t>
        </is>
      </c>
      <c r="C20" s="23" t="inlineStr">
        <is>
          <t>Sistema Nacional de Áreas Protegidas (áreas regionales y privadas)</t>
        </is>
      </c>
      <c r="D20" s="23" t="inlineStr">
        <is>
          <t>Decreto 2372 de 2010, compilado en DUR 1076/2015</t>
        </is>
      </c>
      <c r="E20" s="23" t="inlineStr">
        <is>
          <t>Arts. 2.2.2.1.1.1 y ss.; categorías SINAP</t>
        </is>
      </c>
      <c r="F20" s="23" t="inlineStr">
        <is>
          <t>PNN; CAR; autoridades ambientales competentes; particulares en RNSC</t>
        </is>
      </c>
      <c r="G20" s="23" t="inlineStr">
        <is>
          <t>Nacional y regional</t>
        </is>
      </c>
      <c r="H20" s="23" t="inlineStr">
        <is>
          <t>Según categoría y autoridad que administra/declara el área</t>
        </is>
      </c>
      <c r="I20" s="25" t="n"/>
      <c r="J20" s="24" t="n"/>
      <c r="K20" s="23" t="inlineStr">
        <is>
          <t>Vigente, compilado</t>
        </is>
      </c>
      <c r="L20" s="23" t="inlineStr">
        <is>
          <t>Vigencia verificada</t>
        </is>
      </c>
      <c r="M20" s="24" t="inlineStr">
        <is>
          <t>https://www.funcionpublica.gov.co/eva/gestornormativo/norma.php?i=39961</t>
        </is>
      </c>
      <c r="N20" s="24" t="inlineStr">
        <is>
          <t>https://www.funcionpublica.gov.co/eva/gestornormativo/norma.php?i=78153</t>
        </is>
      </c>
      <c r="O20" s="24" t="inlineStr">
        <is>
          <t>6 oct. 2026</t>
        </is>
      </c>
      <c r="P20" s="24" t="inlineStr">
        <is>
          <t>Alta</t>
        </is>
      </c>
      <c r="Q20" s="23" t="inlineStr">
        <is>
          <t>Para un proyecto concreto debe verificarse la categoría del área, acto de declaratoria y plan de manejo, además del permiso de investigación/recolección.</t>
        </is>
      </c>
      <c r="R20" s="23" t="inlineStr">
        <is>
          <t>Texto literal solo si se usa en 4.2.</t>
        </is>
      </c>
      <c r="S20" s="23" t="inlineStr">
        <is>
          <t>Baja</t>
        </is>
      </c>
    </row>
    <row r="21" ht="45.75" customHeight="1" s="16">
      <c r="A21" s="23" t="inlineStr">
        <is>
          <t>N20</t>
        </is>
      </c>
      <c r="B21" s="23" t="inlineStr">
        <is>
          <t>4.2; 5.4</t>
        </is>
      </c>
      <c r="C21" s="23" t="inlineStr">
        <is>
          <t>Consulta previa (solo mención)</t>
        </is>
      </c>
      <c r="D21" s="23" t="inlineStr">
        <is>
          <t>Ley 21 de 1991; Decreto 2613 de 2013 y normas posteriores sobre consulta previa</t>
        </is>
      </c>
      <c r="E21" s="23" t="inlineStr">
        <is>
          <t>Convenio 169 OIT; protocolo de coordinación interinstitucional</t>
        </is>
      </c>
      <c r="F21" s="23" t="inlineStr">
        <is>
          <t>Ministerio del Interior – Dirección de la Autoridad Nacional de Consulta Previa</t>
        </is>
      </c>
      <c r="G21" s="23" t="inlineStr">
        <is>
          <t>Nacional</t>
        </is>
      </c>
      <c r="H21" s="23" t="inlineStr">
        <is>
          <t>Procedencia de consulta previa cuando exista afectación directa a sujetos colectivos étnicos</t>
        </is>
      </c>
      <c r="I21" s="25" t="n"/>
      <c r="J21" s="24" t="n"/>
      <c r="K21" s="23" t="inlineStr">
        <is>
          <t>Vigente</t>
        </is>
      </c>
      <c r="L21" s="23" t="inlineStr">
        <is>
          <t>Vigencia verificada</t>
        </is>
      </c>
      <c r="M21" s="24" t="inlineStr">
        <is>
          <t>https://www.funcionpublica.gov.co/eva/gestornormativo/norma.php?i=37032</t>
        </is>
      </c>
      <c r="N21" s="24" t="inlineStr">
        <is>
          <t>https://www.mininterior.gov.co/</t>
        </is>
      </c>
      <c r="O21" s="24" t="inlineStr">
        <is>
          <t>6 oct. 2026</t>
        </is>
      </c>
      <c r="P21" s="24" t="inlineStr">
        <is>
          <t>Alta</t>
        </is>
      </c>
      <c r="Q21" s="23" t="inlineStr">
        <is>
          <t>No toda investigación o recolección activa automáticamente consulta previa; debe analizarse procedencia y afectación directa.</t>
        </is>
      </c>
      <c r="R21" s="23" t="inlineStr">
        <is>
          <t>Solo mención: no requiere texto literal adicional.</t>
        </is>
      </c>
      <c r="S21" s="23" t="inlineStr">
        <is>
          <t>Baja</t>
        </is>
      </c>
    </row>
    <row r="22" ht="57" customHeight="1" s="16">
      <c r="A22" s="23" t="inlineStr">
        <is>
          <t>N21</t>
        </is>
      </c>
      <c r="B22" s="23" t="inlineStr">
        <is>
          <t>4.2–4.3</t>
        </is>
      </c>
      <c r="C22" s="23" t="inlineStr">
        <is>
          <t>Bienestar animal y uso de animales en investigación</t>
        </is>
      </c>
      <c r="D22" s="23" t="inlineStr">
        <is>
          <t>Ley 84 de 1989, modificada y parcialmente sustituida por Ley 2455 de 2025</t>
        </is>
      </c>
      <c r="E22" s="23" t="inlineStr">
        <is>
          <t>Arts. 23–26 y disposiciones vigentes; revisar modificaciones de Ley 2455/2025</t>
        </is>
      </c>
      <c r="F22" s="23" t="inlineStr">
        <is>
          <t>Autoridades competentes; comités de ética institucionales según régimen aplicable</t>
        </is>
      </c>
      <c r="G22" s="23" t="inlineStr">
        <is>
          <t>Nacional</t>
        </is>
      </c>
      <c r="H22" s="23" t="inlineStr">
        <is>
          <t>Uso y bienestar de animales; investigación bajo normas aplicables</t>
        </is>
      </c>
      <c r="I22" s="25" t="n"/>
      <c r="J22" s="24" t="n"/>
      <c r="K22" s="23" t="inlineStr">
        <is>
          <t>Vigente con modificaciones importantes</t>
        </is>
      </c>
      <c r="L22" s="23" t="inlineStr">
        <is>
          <t>Vigencia verificada</t>
        </is>
      </c>
      <c r="M22" s="24" t="inlineStr">
        <is>
          <t>https://www.funcionpublica.gov.co/eva/gestornormativo/norma.php?i=8242</t>
        </is>
      </c>
      <c r="N22" s="24" t="inlineStr">
        <is>
          <t>https://www.funcionpublica.gov.co/eva/gestornormativo/norma.php?i=8242</t>
        </is>
      </c>
      <c r="O22" s="24" t="inlineStr">
        <is>
          <t>9 oct. 2026</t>
        </is>
      </c>
      <c r="P22" s="26" t="inlineStr">
        <is>
          <t>Media</t>
        </is>
      </c>
      <c r="Q22" s="23" t="inlineStr">
        <is>
          <t>(v13) Revisado el texto completo de la Ley 2455 de 2025 (18 abr. 2025; versión de Función Pública aportada). HALLAZGO: la Ley 2455 NO modifica ni sustituye los arts. 23–26 de la Ley 84 de 1989 (uso de animales vivos en experimentos e investigación). Modifica o sustituye los arts. 6 (adiciona lit. z.1), 14, 46, 46A y 47–57 de la Ley 84; modifica los arts. 339A y 339B y adiciona el 339C del Código Penal; su art. 23 trata los animales silvestres (concurrencia de las medidas de la Ley 1801/2016 con las de la Ley 1774/2016 y la Ley 2387/2024). Art. 30: deroga «en especial el título IX "Disposiciones generales" y el artículo 58 de la Ley 84 de 1989». DUDA PARA EL ABOGADO: qué artículos comprende ese «título IX» y confirmar que no incluye los arts. 23–26. Art. 339B, par. 3 (en art. 6 de la Ley 2455): «Quienes adelanten las conductas descritas en el artículo 7 de la Ley 84 de 1989 no serán objeto de las penas previstas en la presente ley.» Falta el texto vigente de los arts. 23–26 de la Ley 84.</t>
        </is>
      </c>
      <c r="R22" s="23" t="inlineStr">
        <is>
          <t>Texto vigente de los arts. 23–26 de la Ley 84/1989 (versión integrada) y alcance del «título IX» derogado.</t>
        </is>
      </c>
      <c r="S22" s="23" t="inlineStr">
        <is>
          <t>Media</t>
        </is>
      </c>
    </row>
    <row r="23" ht="90.75" customHeight="1" s="16">
      <c r="A23" s="23" t="inlineStr">
        <is>
          <t>N22</t>
        </is>
      </c>
      <c r="B23" s="23" t="inlineStr">
        <is>
          <t>4.2–4.3</t>
        </is>
      </c>
      <c r="C23" s="23" t="inlineStr">
        <is>
          <t>Animales como seres sintientes; sanciones</t>
        </is>
      </c>
      <c r="D23" s="23" t="inlineStr">
        <is>
          <t>Ley 1774 de 2016, modificada por Ley 2455 de 2025</t>
        </is>
      </c>
      <c r="E23" s="23" t="inlineStr">
        <is>
          <t>Modificaciones al Código Civil, Ley 84/1989 y Código Penal; disposiciones sobre animales como seres sintientes</t>
        </is>
      </c>
      <c r="F23" s="23" t="inlineStr">
        <is>
          <t>Autoridades administrativas, policivas y judiciales según materia</t>
        </is>
      </c>
      <c r="G23" s="23" t="inlineStr">
        <is>
          <t>Nacional</t>
        </is>
      </c>
      <c r="H23" s="23" t="inlineStr">
        <is>
          <t>Protección y sanción de maltrato animal</t>
        </is>
      </c>
      <c r="I23" s="25" t="n"/>
      <c r="J23" s="24" t="n"/>
      <c r="K23" s="23" t="inlineStr">
        <is>
          <t>Vigente con modificaciones</t>
        </is>
      </c>
      <c r="L23" s="23" t="inlineStr">
        <is>
          <t>Vigencia verificada</t>
        </is>
      </c>
      <c r="M23" s="24" t="inlineStr">
        <is>
          <t>https://www.funcionpublica.gov.co/eva/gestornormativo/norma.php?i=68167</t>
        </is>
      </c>
      <c r="N23" s="24" t="inlineStr">
        <is>
          <t>https://www.funcionpublica.gov.co/</t>
        </is>
      </c>
      <c r="O23" s="24" t="inlineStr">
        <is>
          <t>6 oct. 2026</t>
        </is>
      </c>
      <c r="P23" s="24" t="inlineStr">
        <is>
          <t>Alta</t>
        </is>
      </c>
      <c r="Q23" s="23" t="inlineStr">
        <is>
          <t>La Ley 2455/2025 actualizó el estatuto y procedimientos; no citar la Ley 1774 aislada cuando se describa el régimen vigente.</t>
        </is>
      </c>
      <c r="R23" s="23" t="inlineStr">
        <is>
          <t>Texto literal solo si se cita en 4.2–4.3.</t>
        </is>
      </c>
      <c r="S23" s="23" t="inlineStr">
        <is>
          <t>Baja</t>
        </is>
      </c>
    </row>
    <row r="24" ht="45.75" customHeight="1" s="16">
      <c r="A24" s="23" t="inlineStr">
        <is>
          <t>N23</t>
        </is>
      </c>
      <c r="B24" s="23" t="inlineStr">
        <is>
          <t>4.1; 4.3</t>
        </is>
      </c>
      <c r="C24" s="23" t="inlineStr">
        <is>
          <t>Especies amenazadas (listado oficial)</t>
        </is>
      </c>
      <c r="D24" s="23" t="inlineStr">
        <is>
          <t>Resolución 0126 de 2024</t>
        </is>
      </c>
      <c r="E24" s="23" t="inlineStr">
        <is>
          <t>Listado oficial de especies silvestres amenazadas; arts. 1–17</t>
        </is>
      </c>
      <c r="F24" s="23" t="inlineStr">
        <is>
          <t>MADS</t>
        </is>
      </c>
      <c r="G24" s="23" t="inlineStr">
        <is>
          <t>Nacional</t>
        </is>
      </c>
      <c r="H24" s="23" t="inlineStr">
        <is>
          <t>Listado oficial nacional</t>
        </is>
      </c>
      <c r="I24" s="25" t="n"/>
      <c r="J24" s="24" t="n"/>
      <c r="K24" s="23" t="inlineStr">
        <is>
          <t>Vigente; derogó Res. 1218/2003 y 1912/2017</t>
        </is>
      </c>
      <c r="L24" s="23" t="inlineStr">
        <is>
          <t>Vigencia verificada</t>
        </is>
      </c>
      <c r="M24" s="24" t="inlineStr">
        <is>
          <t>https://www.minambiente.gov.co/documento-normativa/resolucion-0126-de-2024/</t>
        </is>
      </c>
      <c r="N24" s="24" t="inlineStr">
        <is>
          <t>https://www.minambiente.gov.co/documento-normativa/resolucion-0126-de-2024/</t>
        </is>
      </c>
      <c r="O24" s="24" t="inlineStr">
        <is>
          <t>6 oct. 2026</t>
        </is>
      </c>
      <c r="P24" s="24" t="inlineStr">
        <is>
          <t>Alta</t>
        </is>
      </c>
      <c r="Q24" s="23" t="inlineStr">
        <is>
          <t>CAMBIO CRÍTICO: reemplazar Resolución 1912/2017 por Resolución 126/2024. Esta última incluye/reclasifica 2.104 especies según reporte oficial.</t>
        </is>
      </c>
      <c r="R24" s="23" t="inlineStr">
        <is>
          <t>Texto literal del artículo de adopción del listado.</t>
        </is>
      </c>
      <c r="S24" s="23" t="inlineStr">
        <is>
          <t>Media</t>
        </is>
      </c>
    </row>
    <row r="25" ht="45.75" customHeight="1" s="16">
      <c r="A25" s="23" t="inlineStr">
        <is>
          <t>N24</t>
        </is>
      </c>
      <c r="B25" s="23" t="inlineStr">
        <is>
          <t>5.2</t>
        </is>
      </c>
      <c r="C25" s="23" t="inlineStr">
        <is>
          <t>Reservas forestales de Ley 2</t>
        </is>
      </c>
      <c r="D25" s="23" t="inlineStr">
        <is>
          <t>Ley 2 de 1959</t>
        </is>
      </c>
      <c r="E25" s="23" t="inlineStr">
        <is>
          <t>Áreas de reserva forestal y régimen especial</t>
        </is>
      </c>
      <c r="F25" s="23" t="inlineStr">
        <is>
          <t>MADS; autoridades ambientales según competencia</t>
        </is>
      </c>
      <c r="G25" s="23" t="inlineStr">
        <is>
          <t>Nacional</t>
        </is>
      </c>
      <c r="H25" s="23" t="inlineStr">
        <is>
          <t>Reservas forestales declaradas por Ley 2</t>
        </is>
      </c>
      <c r="I25" s="25" t="n"/>
      <c r="J25" s="24" t="n"/>
      <c r="K25" s="23" t="inlineStr">
        <is>
          <t>Vigente con modificaciones y reglamentación</t>
        </is>
      </c>
      <c r="L25" s="23" t="inlineStr">
        <is>
          <t>Vigencia verificada</t>
        </is>
      </c>
      <c r="M25" s="24" t="inlineStr">
        <is>
          <t>https://www.funcionpublica.gov.co/eva/gestornormativo/norma.php?i=9028</t>
        </is>
      </c>
      <c r="N25" s="24" t="inlineStr">
        <is>
          <t>https://www.funcionpublica.gov.co/</t>
        </is>
      </c>
      <c r="O25" s="24" t="inlineStr">
        <is>
          <t>6 oct. 2026</t>
        </is>
      </c>
      <c r="P25" s="24" t="inlineStr">
        <is>
          <t>Alta</t>
        </is>
      </c>
      <c r="Q25" s="23" t="inlineStr">
        <is>
          <t>Debe verificarse el acto cartográfico y régimen específico de cada reserva antes de concluir si una actividad requiere sustracción.</t>
        </is>
      </c>
      <c r="R25" s="23" t="inlineStr">
        <is>
          <t>Texto literal solo si se cita en 5.2.</t>
        </is>
      </c>
      <c r="S25" s="23" t="inlineStr">
        <is>
          <t>Baja</t>
        </is>
      </c>
    </row>
    <row r="26" ht="113.25" customHeight="1" s="16">
      <c r="A26" s="23" t="inlineStr">
        <is>
          <t>N25</t>
        </is>
      </c>
      <c r="B26" s="23" t="inlineStr">
        <is>
          <t>5.2</t>
        </is>
      </c>
      <c r="C26" s="23" t="inlineStr">
        <is>
          <t>Sustracción temporal y definitiva de reservas forestales</t>
        </is>
      </c>
      <c r="D26" s="23" t="inlineStr">
        <is>
          <t>Decreto 1076 de 2015; Resolución 1705 de 2024</t>
        </is>
      </c>
      <c r="E26" s="23" t="inlineStr">
        <is>
          <t>Resolución 1705 de 2024: términos de referencia para el estudio técnico que sustenta solicitudes de sustracción de reservas forestales nacionales y regionales</t>
        </is>
      </c>
      <c r="F26" s="23" t="inlineStr">
        <is>
          <t>MADS (reservas nacionales); autoridad ambiental regional competente (reservas regionales)</t>
        </is>
      </c>
      <c r="G26" s="23" t="inlineStr">
        <is>
          <t>Nacional y regional</t>
        </is>
      </c>
      <c r="H26" s="23" t="inlineStr">
        <is>
          <t>La competencia depende del orden de la reserva: nacional o regional; la Resolución 1705 de 2024 establece los términos de referencia para sustentar la solicitud.</t>
        </is>
      </c>
      <c r="I26" s="24" t="inlineStr">
        <is>
          <t>“se adoptan los términos de referencia para la elaboración del estudio técnico que sustenta la solicitud de sustracción”</t>
        </is>
      </c>
      <c r="J26" s="24" t="inlineStr">
        <is>
          <t>La Resolución 1526 de 2012 fue sustituida/derogada en el régimen posterior: Resolución 110 de 2022 y, posteriormente, Resolución 1705 de 2024; esta última derogó la Resolución 110 de 2022.</t>
        </is>
      </c>
      <c r="K26" s="23" t="inlineStr">
        <is>
          <t>Vigente: Resolución 1705 de 2024</t>
        </is>
      </c>
      <c r="L26" s="23" t="inlineStr">
        <is>
          <t>Verificado</t>
        </is>
      </c>
      <c r="M26" s="24" t="inlineStr">
        <is>
          <t>Ministerio de Ambiente y Desarrollo Sostenible</t>
        </is>
      </c>
      <c r="N26" s="24" t="inlineStr">
        <is>
          <t>https://www.minambiente.gov.co/wp-content/uploads/2025/01/Resolucion-1705-de-2024.pdf</t>
        </is>
      </c>
      <c r="O26" s="24" t="inlineStr">
        <is>
          <t>6 oct. 2026</t>
        </is>
      </c>
      <c r="P26" s="24" t="inlineStr">
        <is>
          <t>Alta</t>
        </is>
      </c>
      <c r="Q26" s="23" t="inlineStr">
        <is>
          <t>No citar la Resolución 1526 de 2012 como régimen vigente. Para un trámite concreto debe revisarse además el Decreto 1076 de 2015 y la categoría específica de la reserva.</t>
        </is>
      </c>
      <c r="R26" s="23" t="inlineStr">
        <is>
          <t>Ninguno.</t>
        </is>
      </c>
      <c r="S26" s="23" t="inlineStr">
        <is>
          <t>—</t>
        </is>
      </c>
    </row>
    <row r="27" ht="90.75" customHeight="1" s="16">
      <c r="A27" s="23" t="inlineStr">
        <is>
          <t>N26</t>
        </is>
      </c>
      <c r="B27" s="23" t="inlineStr">
        <is>
          <t>5.2; 4.3</t>
        </is>
      </c>
      <c r="C27" s="23" t="inlineStr">
        <is>
          <t>Actividades de bajo impacto que no requieren sustracción</t>
        </is>
      </c>
      <c r="D27" s="23" t="inlineStr">
        <is>
          <t>Resolución 083 de 2026, corregida por Resolución 122 de 2026</t>
        </is>
      </c>
      <c r="E27" s="23" t="inlineStr">
        <is>
          <t>Art. 1; art. 2, nums. 4, 9, 11 y 28, par. 1; art. 3, lit. a; art. 5; art. 6 (Información); art. 6 (Vigencia; numeración repetida en el original)</t>
        </is>
      </c>
      <c r="F27" s="23" t="inlineStr">
        <is>
          <t>MADS para reservas forestales nacionales; autoridad ambiental competente para reservas forestales regionales</t>
        </is>
      </c>
      <c r="G27" s="23" t="inlineStr">
        <is>
          <t>Nacional y regional</t>
        </is>
      </c>
      <c r="H27" s="23" t="inlineStr">
        <is>
          <t>Aplica a las actividades expresamente listadas que cumplan las condiciones de la Resolución 083 de 2026; el orden de la reserva determina la autoridad a la que se remite la información.</t>
        </is>
      </c>
      <c r="I27" s="24" t="inlineStr">
        <is>
          <t>Art. 1 (p. 5): “La presente resolución tiene por objeto establecer las actividades de bajo impacto ambiental y que además, generen beneficio social, las cuales se pueden desarrollar al interior de las áreas de reserva forestal sin necesidad de adelantar el trámite previo de sustracción; así como, establecer las condiciones para el desarrollo de estas.”
Art. 2, num. 4 (p. 5): “El montaje de infraestructura para el desarrollo de actividades de campo, que hagan parte de proyectos de investigación científica en diversidad biológica.”
Art. 2, num. 9 (p. 6): “La construcción de infraestructura para recreación pasiva, senderismo, interpretación paisajística y monitoreo de la biodiversidad, las cuales comprenden miradores, barandas, plataformas, mobiliario, vallas informativas y de señalización, empleando infraestructura verde. No implica la apertura de nuevos caminos, ni la construcción de infraestructura habitacional, comercial o de pernoctación.”
Art. 2, num. 11 (p. 6): “La ubicación de estaciones hidrometeorológicas y de monitoreo ambiental.”
Art. 2, num. 28 (p. 7): “Las que hagan parte de programas o proyectos de restauración ecológica, recuperación o rehabilitación de ecosistemas.”
Art. 2, par. 1 (p. 7): “Las actividades citadas en este artículo, tratándose de reservas forestales protectoras nacionales y regionales, deberán considerar el régimen de usos y actividades establecidas en los actos administrativos de declaratoria y/o de adopción del respectivo plan de manejo del área protegida.”
Art. 3, lit. a (p. 8): “No deben implicar la construcción de vías o accesos, salvo los casos previstos en el artículo 2.”
Art. 5 (p. 9): “Lo dispuesto en el presente artículo, no exonera al interesado conforme a la actividad a desarrollar de obtener por parte de la autoridad ambiental competente, el derecho al uso o afectación de los recursos naturales renovables o del ambiente. [...]”
Art. 6, Información (pp. 9–10): “El interesado en adelantar alguna de las actividades del artículo 2 de la presente resolución, previamente a su ejecución deberá remitir a la autoridad ambiental competente, en el caso de las reservas forestales regionales y al Ministerio de Ambiente y Desarrollo Sostenible en el caso de las reservas forestales nacionales, la siguiente información: a. Identificación completa del interesado indicando sus datos de contacto. b. Fecha prevista para la iniciación del proyecto, obra o actividad y su respectivo cronograma de ejecución. c. Localización del área donde se realizará la actividad, presentando las coordenadas, de acuerdo con la Resolución IGAC No. 370 de 2021 o la norma que la modifique, adicione o sustituya. d. Descripción técnica de la actividad a desarrollar. e. Medidas de manejo ambiental a implementar.”
Art. 6, Vigencia (p. 10): “La presente resolución rige a partir de su publicación en el Diario Oficial y deroga las Resoluciones 1527 de 2012 y 1274 de 2014 y las demás disposiciones que le sean contrarias.”</t>
        </is>
      </c>
      <c r="J27" s="24" t="inlineStr">
        <is>
          <t>Derogó las Resoluciones 1527 de 2012 y 1274 de 2014. La Resolución 122 de 2026 corrigió formalmente la Resolución 083 de 2026.</t>
        </is>
      </c>
      <c r="K27" s="23" t="inlineStr">
        <is>
          <t>Vigente</t>
        </is>
      </c>
      <c r="L27" s="23" t="inlineStr">
        <is>
          <t>Verificado</t>
        </is>
      </c>
      <c r="M27" s="24" t="inlineStr">
        <is>
          <t>Resolución 0083 del 5 feb. 2026, MADS (copia escaneada firmada, 10 págs., aportada por Adri)</t>
        </is>
      </c>
      <c r="N27" s="24" t="inlineStr">
        <is>
          <t>https://www.minambiente.gov.co/documento-normativa/resolucion-no-083-de-2026-2/</t>
        </is>
      </c>
      <c r="O27" s="24" t="inlineStr">
        <is>
          <t>9 oct. 2026</t>
        </is>
      </c>
      <c r="P27" s="26" t="inlineStr">
        <is>
          <t>Alta</t>
        </is>
      </c>
      <c r="Q27" s="23" t="inlineStr">
        <is>
          <t>(v13) RESPUESTA: la resolución NO lista el muestreo ni la colecta como tales; lista el MONTAJE DE INFRAESTRUCTURA de campo para investigación científica en diversidad biológica (num. 4), infraestructura para monitoreo de la biodiversidad (num. 9), estaciones de monitoreo ambiental (num. 11) y restauración (num. 28). Interpretación para el capítulo: el muestreo sin infraestructura no es una actividad que requiera sustracción; la infraestructura de campo (parcelas permanentes, torres, estaciones) puede instalarse sin sustracción, pero (i) exige informar PREVIAMENTE al MADS (reservas nacionales) o a la autoridad regional (reservas regionales) con la información del art. 6, y (ii) no exime del permiso de recolección ni de otros permisos de uso de recursos (art. 5). En reservas forestales PROTECTORAS manda el plan de manejo (par. 1). El original tiene dos "Artículo 6" (Información y Vigencia); el registro previo indica que la Res. 122/2026 corrige el artículo de vigencia: verificar su texto. Para el abogado: confirmar que la colecta sin infraestructura no requiere el aviso del art. 6.</t>
        </is>
      </c>
      <c r="R27" s="23" t="inlineStr">
        <is>
          <t>Texto de la Res. 122/2026. Confirmación jurídica de la interpretación.</t>
        </is>
      </c>
      <c r="S27" s="23" t="inlineStr">
        <is>
          <t>Baja</t>
        </is>
      </c>
    </row>
    <row r="28" ht="45.75" customHeight="1" s="16">
      <c r="A28" s="23" t="inlineStr">
        <is>
          <t>N27</t>
        </is>
      </c>
      <c r="B28" s="23" t="inlineStr">
        <is>
          <t>5.2</t>
        </is>
      </c>
      <c r="C28" s="23" t="inlineStr">
        <is>
          <t>Aprovechamiento forestal (persistente, único, doméstico)</t>
        </is>
      </c>
      <c r="D28" s="23" t="inlineStr">
        <is>
          <t>Decreto 1791 de 1996, compilado en DUR 1076/2015</t>
        </is>
      </c>
      <c r="E28" s="23" t="inlineStr">
        <is>
          <t>Arts. 2.2.1.1.4 y ss.; clases de aprovechamiento y permisos</t>
        </is>
      </c>
      <c r="F28" s="23" t="inlineStr">
        <is>
          <t>CAR/autoridad ambiental competente</t>
        </is>
      </c>
      <c r="G28" s="23" t="inlineStr">
        <is>
          <t>Regional</t>
        </is>
      </c>
      <c r="H28" s="23" t="inlineStr">
        <is>
          <t>Jurisdicción del área y naturaleza del aprovechamiento</t>
        </is>
      </c>
      <c r="I28" s="25" t="n"/>
      <c r="J28" s="24" t="n"/>
      <c r="K28" s="23" t="inlineStr">
        <is>
          <t>Vigente, compilado</t>
        </is>
      </c>
      <c r="L28" s="23" t="inlineStr">
        <is>
          <t>Vigencia verificada</t>
        </is>
      </c>
      <c r="M28" s="24" t="inlineStr">
        <is>
          <t>https://www.funcionpublica.gov.co/eva/gestornormativo/norma.php?i=3595</t>
        </is>
      </c>
      <c r="N28" s="24" t="inlineStr">
        <is>
          <t>https://www.funcionpublica.gov.co/eva/gestornormativo/norma.php?i=78153</t>
        </is>
      </c>
      <c r="O28" s="24" t="inlineStr">
        <is>
          <t>6 oct. 2026</t>
        </is>
      </c>
      <c r="P28" s="24" t="inlineStr">
        <is>
          <t>Alta</t>
        </is>
      </c>
      <c r="Q28" s="23" t="inlineStr">
        <is>
          <t>La regulación está incorporada al DUR 1076/2015; citar el artículo compilado para trámites actuales.</t>
        </is>
      </c>
      <c r="R28" s="23" t="inlineStr">
        <is>
          <t>Texto literal de las clases de aprovechamiento si se usa en 5.2.</t>
        </is>
      </c>
      <c r="S28" s="23" t="inlineStr">
        <is>
          <t>Baja</t>
        </is>
      </c>
    </row>
    <row r="29" ht="90.75" customHeight="1" s="16">
      <c r="A29" s="23" t="inlineStr">
        <is>
          <t>N28</t>
        </is>
      </c>
      <c r="B29" s="23" t="inlineStr">
        <is>
          <t>5.2</t>
        </is>
      </c>
      <c r="C29" s="23" t="inlineStr">
        <is>
          <t>Vedas de flora silvestre: epífitas, musgos, líquenes, orquídeas y helechos arborescentes</t>
        </is>
      </c>
      <c r="D29" s="23" t="inlineStr">
        <is>
          <t>Resolución 0213 de 1977 (INDERENA) y Resolución 0801 de 1977 (INDERENA), además de actos de veda específicos posteriores</t>
        </is>
      </c>
      <c r="E29" s="23" t="inlineStr">
        <is>
          <t>Resolución 0213 de 1977, arts. 1–2; Resolución 0801 de 1977, arts. 1–2</t>
        </is>
      </c>
      <c r="F29" s="23" t="inlineStr">
        <is>
          <t>MADS para vedas nacionales; CAR/autoridad ambiental competente para vedas o medidas de ámbito regional, según el acto aplicable</t>
        </is>
      </c>
      <c r="G29" s="23" t="inlineStr">
        <is>
          <t>Nacional y regional</t>
        </is>
      </c>
      <c r="H29" s="23" t="inlineStr">
        <is>
          <t>Debe verificarse el acto de veda aplicable a la especie/grupo y al territorio. Las vedas nacionales de 1977 continúan siendo referencias vigentes en la información oficial del MADS, sin perjuicio de levantamientos parciales o actos posteriores.</t>
        </is>
      </c>
      <c r="I29" s="24" t="inlineStr">
        <is>
          <t>“Establécese veda en todo el territorio nacional para el aprovechamiento, transporte y comercialización”</t>
        </is>
      </c>
      <c r="J29" s="24" t="inlineStr">
        <is>
          <t>La Resolución 0213 de 1977 no debe tratarse como única fuente de vedas. Existen otros actos nacionales y regionales, así como levantamientos parciales posteriores. La Resolución 0801 de 1977 regula específicamente helechos arborescentes.</t>
        </is>
      </c>
      <c r="K29" s="23" t="inlineStr">
        <is>
          <t>Vigente en lo que no haya sido modificado, levantado o sustituido por actos posteriores</t>
        </is>
      </c>
      <c r="L29" s="23" t="inlineStr">
        <is>
          <t>Verificado</t>
        </is>
      </c>
      <c r="M29" s="24" t="inlineStr">
        <is>
          <t>Ministerio de Ambiente y Desarrollo Sostenible</t>
        </is>
      </c>
      <c r="N29" s="24" t="inlineStr">
        <is>
          <t>https://www.minambiente.gov.co/direccion-de-bosques-biodiversidad-y-servicios-ecosistemicos/levantamiento-de-veda-de-flora-silvestre/</t>
        </is>
      </c>
      <c r="O29" s="24" t="inlineStr">
        <is>
          <t>6 oct. 2026</t>
        </is>
      </c>
      <c r="P29" s="24" t="inlineStr">
        <is>
          <t>Alta</t>
        </is>
      </c>
      <c r="Q29" s="23" t="inlineStr">
        <is>
          <t>Para un proyecto concreto debe revisarse la especie, ubicación y acto administrativo aplicable. No confundir la existencia de una veda con el trámite de levantamiento de veda; este último tiene reglas específicas según el instrumento ambiental.</t>
        </is>
      </c>
      <c r="R29" s="23" t="inlineStr">
        <is>
          <t>Ninguno: la nota es una advertencia caso-específica, no un pendiente.</t>
        </is>
      </c>
      <c r="S29" s="23" t="inlineStr">
        <is>
          <t>—</t>
        </is>
      </c>
    </row>
    <row r="30" ht="113.25" customHeight="1" s="16">
      <c r="A30" s="23" t="inlineStr">
        <is>
          <t>N29</t>
        </is>
      </c>
      <c r="B30" s="23" t="inlineStr">
        <is>
          <t>5.2</t>
        </is>
      </c>
      <c r="C30" s="23" t="inlineStr">
        <is>
          <t>Cambios al trámite de levantamiento de veda en proyectos licenciados</t>
        </is>
      </c>
      <c r="D30" s="23" t="inlineStr">
        <is>
          <t>Decreto 2106 de 2019, art. 125</t>
        </is>
      </c>
      <c r="E30" s="23" t="inlineStr">
        <is>
          <t>Parágrafo 2 art. 125; eliminación del trámite separado de levantamiento parcial de veda para proyectos que requieren licencia/permiso/autorización</t>
        </is>
      </c>
      <c r="F30" s="23" t="inlineStr">
        <is>
          <t>ANLA; CAR/autoridad ambiental competente</t>
        </is>
      </c>
      <c r="G30" s="23" t="inlineStr">
        <is>
          <t>Nacional y regional</t>
        </is>
      </c>
      <c r="H30" s="23" t="inlineStr">
        <is>
          <t>Se integra al instrumento ambiental correspondiente</t>
        </is>
      </c>
      <c r="I30" s="25" t="n"/>
      <c r="J30" s="24" t="n"/>
      <c r="K30" s="23" t="inlineStr">
        <is>
          <t>Vigente</t>
        </is>
      </c>
      <c r="L30" s="23" t="inlineStr">
        <is>
          <t>Vigencia verificada</t>
        </is>
      </c>
      <c r="M30" s="24" t="inlineStr">
        <is>
          <t>https://www.minambiente.gov.co/direccion-de-bosques-biodiversidad-y-servicios-ecosistemicos/levantamiento-de-veda-de-flora-silvestre/</t>
        </is>
      </c>
      <c r="N30" s="24" t="inlineStr">
        <is>
          <t>https://www.minambiente.gov.co/direccion-de-bosques-biodiversidad-y-servicios-ecosistemicos/levantamiento-de-veda-de-flora-silvestre/</t>
        </is>
      </c>
      <c r="O30" s="24" t="inlineStr">
        <is>
          <t>6 oct. 2026</t>
        </is>
      </c>
      <c r="P30" s="24" t="inlineStr">
        <is>
          <t>Alta</t>
        </is>
      </c>
      <c r="Q30" s="23" t="inlineStr">
        <is>
          <t>CAMBIO IMPORTANTE: para proyectos sometidos a instrumento ambiental ya no se tramita por separado el levantamiento parcial; la autoridad competente impone las medidas dentro del instrumento.</t>
        </is>
      </c>
      <c r="R30" s="23" t="inlineStr">
        <is>
          <t>Texto literal del parágrafo 2 del art. 125.</t>
        </is>
      </c>
      <c r="S30" s="23" t="inlineStr">
        <is>
          <t>Media</t>
        </is>
      </c>
    </row>
    <row r="31" ht="57" customHeight="1" s="16">
      <c r="A31" s="23" t="inlineStr">
        <is>
          <t>N30</t>
        </is>
      </c>
      <c r="B31" s="23" t="inlineStr">
        <is>
          <t>5.4</t>
        </is>
      </c>
      <c r="C31" s="23" t="inlineStr">
        <is>
          <t>Protección de datos personales de participantes</t>
        </is>
      </c>
      <c r="D31" s="23" t="inlineStr">
        <is>
          <t>Ley 1581 de 2012; Decreto 1074 de 2015 y normas complementarias</t>
        </is>
      </c>
      <c r="E31" s="23" t="inlineStr">
        <is>
          <t>Principios, autorización, tratamiento, derechos del titular y datos sensibles</t>
        </is>
      </c>
      <c r="F31" s="23" t="inlineStr">
        <is>
          <t>SIC; responsable/encargado del tratamiento</t>
        </is>
      </c>
      <c r="G31" s="23" t="inlineStr">
        <is>
          <t>Nacional</t>
        </is>
      </c>
      <c r="H31" s="23" t="inlineStr">
        <is>
          <t>Tratamiento de datos personales</t>
        </is>
      </c>
      <c r="I31" s="25" t="n"/>
      <c r="J31" s="24" t="n"/>
      <c r="K31" s="23" t="inlineStr">
        <is>
          <t>Vigente</t>
        </is>
      </c>
      <c r="L31" s="23" t="inlineStr">
        <is>
          <t>Vigencia verificada</t>
        </is>
      </c>
      <c r="M31" s="24" t="inlineStr">
        <is>
          <t>https://www.funcionpublica.gov.co/eva/gestornormativo/norma.php?i=49981</t>
        </is>
      </c>
      <c r="N31" s="24" t="inlineStr">
        <is>
          <t>https://www.sic.gov.co/proteccion-de-datos-personales</t>
        </is>
      </c>
      <c r="O31" s="24" t="inlineStr">
        <is>
          <t>6 oct. 2026</t>
        </is>
      </c>
      <c r="P31" s="24" t="inlineStr">
        <is>
          <t>Alta</t>
        </is>
      </c>
      <c r="Q31" s="23" t="inlineStr">
        <is>
          <t>Relevante cuando ciencia participativa recolecta datos identificables de personas. Separar datos personales de datos de biodiversidad.</t>
        </is>
      </c>
      <c r="R31" s="23" t="inlineStr">
        <is>
          <t>Texto literal sobre autorización del titular (consentimiento) para 5.4.</t>
        </is>
      </c>
      <c r="S31" s="23" t="inlineStr">
        <is>
          <t>Media</t>
        </is>
      </c>
    </row>
    <row r="32" ht="79.5" customHeight="1" s="16">
      <c r="A32" s="23" t="inlineStr">
        <is>
          <t>N31</t>
        </is>
      </c>
      <c r="B32" s="23" t="inlineStr">
        <is>
          <t>5.4</t>
        </is>
      </c>
      <c r="C32" s="23" t="inlineStr">
        <is>
          <t>Propiedad y uso de datos generados en ciencia participativa</t>
        </is>
      </c>
      <c r="D32" s="23" t="inlineStr">
        <is>
          <t>Ley 23 de 1982, modificada por Ley 1915 de 2018; términos de uso/licencias aplicables</t>
        </is>
      </c>
      <c r="E32" s="23" t="inlineStr">
        <is>
          <t>Derechos de autor sobre obras y bases de datos cuando exista originalidad; licenciamiento y uso de contenidos</t>
        </is>
      </c>
      <c r="F32" s="23" t="inlineStr">
        <is>
          <t>Dirección Nacional de Derecho de Autor; titulares de derechos</t>
        </is>
      </c>
      <c r="G32" s="23" t="inlineStr">
        <is>
          <t>Nacional</t>
        </is>
      </c>
      <c r="H32" s="23" t="inlineStr">
        <is>
          <t>Propiedad intelectual/uso de contenidos</t>
        </is>
      </c>
      <c r="I32" s="25" t="n"/>
      <c r="J32" s="24" t="n"/>
      <c r="K32" s="23" t="inlineStr">
        <is>
          <t>Vigente</t>
        </is>
      </c>
      <c r="L32" s="23" t="inlineStr">
        <is>
          <t>Vigencia verificada</t>
        </is>
      </c>
      <c r="M32" s="24" t="inlineStr">
        <is>
          <t>https://www.funcionpublica.gov.co/eva/gestornormativo/norma.php?i=3431</t>
        </is>
      </c>
      <c r="N32" s="24" t="inlineStr">
        <is>
          <t>https://www.derechodeautor.gov.co/</t>
        </is>
      </c>
      <c r="O32" s="24" t="inlineStr">
        <is>
          <t>6 oct. 2026</t>
        </is>
      </c>
      <c r="P32" s="24" t="inlineStr">
        <is>
          <t>Alta</t>
        </is>
      </c>
      <c r="Q32" s="23" t="inlineStr">
        <is>
          <t>No afirmar que 'los datos son propiedad' de una persona sin analizar el tipo de dato, obra, base de datos, contrato y licencia. Para ciencia participativa conviene definir derechos, atribución, licencias y gobernanza de datos.</t>
        </is>
      </c>
      <c r="R32" s="23" t="inlineStr">
        <is>
          <t>Texto literal sobre protección de bases de datos si se usa en 5.4.</t>
        </is>
      </c>
      <c r="S32" s="23" t="inlineStr">
        <is>
          <t>Media</t>
        </is>
      </c>
    </row>
    <row r="33" ht="90.75" customHeight="1" s="16">
      <c r="A33" s="23" t="inlineStr">
        <is>
          <t>N32</t>
        </is>
      </c>
      <c r="B33" s="23" t="inlineStr">
        <is>
          <t>5.4</t>
        </is>
      </c>
      <c r="C33" s="23" t="inlineStr">
        <is>
          <t>Acceso a información ambiental, participación pública y justicia ambiental</t>
        </is>
      </c>
      <c r="D33" s="23" t="inlineStr">
        <is>
          <t>Ley 2273 de 2022 – Acuerdo de Escazú</t>
        </is>
      </c>
      <c r="E33" s="23" t="inlineStr">
        <is>
          <t>Arts. 4–8 del Acuerdo: información ambiental, participación pública, acceso a justicia y personas defensoras</t>
        </is>
      </c>
      <c r="F33" s="23" t="inlineStr">
        <is>
          <t>MADS; autoridades ambientales y demás autoridades competentes</t>
        </is>
      </c>
      <c r="G33" s="23" t="inlineStr">
        <is>
          <t>Nacional / internacional</t>
        </is>
      </c>
      <c r="H33" s="23" t="inlineStr">
        <is>
          <t>Derechos de acceso en asuntos ambientales</t>
        </is>
      </c>
      <c r="I33" s="25" t="n"/>
      <c r="J33" s="24" t="n"/>
      <c r="K33" s="23" t="inlineStr">
        <is>
          <t>Vigente; Ley aprobatoria declarada exequible en 2024</t>
        </is>
      </c>
      <c r="L33" s="23" t="inlineStr">
        <is>
          <t>Vigencia verificada</t>
        </is>
      </c>
      <c r="M33" s="24" t="inlineStr">
        <is>
          <t>https://www.anla.gov.co/wanla/eureka/normativa/leyes/ley-2273-de-2022-acuerdo-de-escazu</t>
        </is>
      </c>
      <c r="N33" s="24" t="inlineStr">
        <is>
          <t>https://www.anla.gov.co/wanla/eureka/normativa/leyes/ley-2273-de-2022-acuerdo-de-escazu</t>
        </is>
      </c>
      <c r="O33" s="24" t="inlineStr">
        <is>
          <t>6 oct. 2026</t>
        </is>
      </c>
      <c r="P33" s="24" t="inlineStr">
        <is>
          <t>Alta</t>
        </is>
      </c>
      <c r="Q33" s="23" t="inlineStr">
        <is>
          <t>NUEVA FILA RECOMENDADA. Es pertinente para participación, acceso a información ambiental y gobernanza de información, especialmente en ciencia participativa.</t>
        </is>
      </c>
      <c r="R33" s="23" t="inlineStr">
        <is>
          <t>Texto literal art. 7 (participación pública) para 5.4.</t>
        </is>
      </c>
      <c r="S33" s="23" t="inlineStr">
        <is>
          <t>Media</t>
        </is>
      </c>
    </row>
    <row r="34" ht="45.75" customHeight="1" s="16">
      <c r="A34" s="27" t="inlineStr">
        <is>
          <t>N33</t>
        </is>
      </c>
      <c r="B34" s="27" t="inlineStr">
        <is>
          <t>5.1; 5.2</t>
        </is>
      </c>
      <c r="C34" s="27" t="inlineStr">
        <is>
          <t>Separación entre permiso de recolección para investigación no comercial y permiso de estudio para estudios ambientales</t>
        </is>
      </c>
      <c r="D34" s="27" t="inlineStr">
        <is>
          <t>Concepto jurídico MADS 2025 (número y fecha por identificar)</t>
        </is>
      </c>
      <c r="E34" s="27" t="inlineStr">
        <is>
          <t>—</t>
        </is>
      </c>
      <c r="F34" s="27" t="inlineStr">
        <is>
          <t>MADS – Oficina Asesora Jurídica</t>
        </is>
      </c>
      <c r="G34" s="27" t="inlineStr">
        <is>
          <t>Nacional</t>
        </is>
      </c>
      <c r="H34" s="27" t="inlineStr">
        <is>
          <t>Interpretación oficial del régimen</t>
        </is>
      </c>
      <c r="I34" s="25" t="n"/>
      <c r="J34" s="24" t="n"/>
      <c r="K34" s="27" t="n"/>
      <c r="L34" s="27" t="inlineStr">
        <is>
          <t>Por verificar</t>
        </is>
      </c>
      <c r="M34" s="24" t="n"/>
      <c r="N34" s="24" t="n"/>
      <c r="O34" s="24" t="n"/>
      <c r="P34" s="27" t="inlineStr">
        <is>
          <t>Baja</t>
        </is>
      </c>
      <c r="Q34" s="27" t="inlineStr">
        <is>
          <t>Citado en N07, N09 y en Control cambios, pero sin registro propio. Los conceptos jurídicos no son vinculantes: presentarlo como interpretación oficial, no como norma. HALLAZGO (v6): la separación entre ambos regímenes está en el propio DUR (art. 2.2.2.8.1.2, par. 2; art. 2.2.2.9.2.1, par. 2). El concepto MADS 2025 deja de ser el soporte principal de 5.1–5.2 y pasa a ser complementario. Prioridad sin cambiar: decisión de Adri. (v8) Prioridad Alta → Media por decisión de Adri (6 oct. 2026): la separación de regímenes se sustenta en el DUR; el concepto queda como soporte complementario.</t>
        </is>
      </c>
      <c r="R34" s="27" t="inlineStr">
        <is>
          <t>Registrar número, fecha, URL y texto literal del aparte que separa ambos regímenes.</t>
        </is>
      </c>
      <c r="S34" s="27" t="inlineStr">
        <is>
          <t>Media</t>
        </is>
      </c>
    </row>
    <row r="35" ht="57" customHeight="1" s="16">
      <c r="A35" s="27" t="inlineStr">
        <is>
          <t>N34</t>
        </is>
      </c>
      <c r="B35" s="27" t="inlineStr">
        <is>
          <t>4 (mención); 6</t>
        </is>
      </c>
      <c r="C35" s="27" t="inlineStr">
        <is>
          <t>Régimen sancionatorio ambiental: consecuencias de colectar sin permiso o fuera de su alcance</t>
        </is>
      </c>
      <c r="D35" s="27" t="inlineStr">
        <is>
          <t>Ley 1333 de 2009</t>
        </is>
      </c>
      <c r="E35" s="27" t="inlineStr">
        <is>
          <t>Por identificar (infracciones, medidas preventivas, sanciones)</t>
        </is>
      </c>
      <c r="F35" s="27" t="inlineStr">
        <is>
          <t>Autoridades ambientales (MADS, ANLA, CAR, autoridades urbanas, PNN) según competencia</t>
        </is>
      </c>
      <c r="G35" s="27" t="inlineStr">
        <is>
          <t>Nacional y regional</t>
        </is>
      </c>
      <c r="H35" s="27" t="inlineStr">
        <is>
          <t>La autoridad competente para sancionar suele ser la que otorgó el permiso o tiene jurisdicción en el área: verificar</t>
        </is>
      </c>
      <c r="I35" s="25" t="n"/>
      <c r="J35" s="24" t="n"/>
      <c r="K35" s="27" t="n"/>
      <c r="L35" s="27" t="inlineStr">
        <is>
          <t>Por verificar</t>
        </is>
      </c>
      <c r="M35" s="24" t="n"/>
      <c r="N35" s="24" t="n"/>
      <c r="O35" s="24" t="n"/>
      <c r="P35" s="27" t="inlineStr">
        <is>
          <t>Baja</t>
        </is>
      </c>
      <c r="Q35" s="27" t="inlineStr">
        <is>
          <t>Solo mención en el capítulo. Verificar vigencia y reformas posteriores. Evidencia cruzada (Ley 99/1993, Función Pública, pp. 48–49): los arts. 83, 84 y 85 de la Ley 99 aparecen subrogados por el art. 66 de la Ley 1333 de 2009. Esto confirma que la Ley 1333 sustituyó el régimen sancionatorio de la Ley 99, pero no verifica la vigencia actual de la Ley 1333 ni su reforma (N35).</t>
        </is>
      </c>
      <c r="R35" s="27" t="inlineStr">
        <is>
          <t>Verificar vigencia y extraer texto literal de la definición de infracción ambiental.</t>
        </is>
      </c>
      <c r="S35" s="27" t="inlineStr">
        <is>
          <t>Media</t>
        </is>
      </c>
    </row>
    <row r="36" ht="34.5" customHeight="1" s="16">
      <c r="A36" s="27" t="inlineStr">
        <is>
          <t>N35</t>
        </is>
      </c>
      <c r="B36" s="27" t="inlineStr">
        <is>
          <t>4 (mención); 6</t>
        </is>
      </c>
      <c r="C36" s="27" t="inlineStr">
        <is>
          <t>Reforma del régimen sancionatorio ambiental</t>
        </is>
      </c>
      <c r="D36" s="27" t="inlineStr">
        <is>
          <t>Ley 2387 de 2024</t>
        </is>
      </c>
      <c r="E36" s="27" t="n"/>
      <c r="F36" s="27" t="inlineStr">
        <is>
          <t>Autoridades ambientales según competencia</t>
        </is>
      </c>
      <c r="G36" s="27" t="inlineStr">
        <is>
          <t>Nacional y regional</t>
        </is>
      </c>
      <c r="H36" s="27" t="n"/>
      <c r="I36" s="25" t="n"/>
      <c r="J36" s="24" t="n"/>
      <c r="K36" s="27" t="n"/>
      <c r="L36" s="27" t="inlineStr">
        <is>
          <t>Por verificar</t>
        </is>
      </c>
      <c r="M36" s="24" t="n"/>
      <c r="N36" s="24" t="n"/>
      <c r="O36" s="24" t="n"/>
      <c r="P36" s="27" t="inlineStr">
        <is>
          <t>Baja</t>
        </is>
      </c>
      <c r="Q36" s="27" t="inlineStr">
        <is>
          <t>Número y año de memoria: confirmar que es la reforma de la Ley 1333/2009 y qué cambió en sanciones. (v8) NÚMERO CONFIRMADO: el Decreto 0973 de 2026 (4 ago. 2026; pp. 16, 21 y 39, cotejo visual de p. 39) cita la "Ley 1333 de 2009, modificada por la Ley 2387 de 2024". Esto confirma número y año, no el contenido ni la vigencia de la reforma; la fila sigue "Por verificar" hasta tener el texto de la Ley 2387. (v13) Evidencia cruzada: la Ley 2455 de 2025, art. 23, cita la «Ley 2387 de 2024» entre las normas sancionatorias aplicables a fauna silvestre. Sigue Por verificar.</t>
        </is>
      </c>
      <c r="R36" s="27" t="inlineStr">
        <is>
          <t>Obtener el texto de la Ley 2387 de 2024, verificar vigencia y extraer los cambios relevantes para la recolección sin permiso o fuera de su alcance.</t>
        </is>
      </c>
      <c r="S36" s="27" t="inlineStr">
        <is>
          <t>Media</t>
        </is>
      </c>
    </row>
    <row r="37" ht="68.25" customHeight="1" s="16">
      <c r="A37" s="27" t="inlineStr">
        <is>
          <t>N36</t>
        </is>
      </c>
      <c r="B37" s="27" t="inlineStr">
        <is>
          <t>4 (mención); 6</t>
        </is>
      </c>
      <c r="C37" s="27" t="inlineStr">
        <is>
          <t>Delitos ambientales: aprovechamiento ilícito de recursos biológicos</t>
        </is>
      </c>
      <c r="D37" s="27" t="inlineStr">
        <is>
          <t>Ley 2111 de 2021 (modifica Título XI del Código Penal)</t>
        </is>
      </c>
      <c r="E37" s="27" t="inlineStr">
        <is>
          <t>Por identificar (artículo sobre aprovechamiento ilícito de recursos naturales renovables)</t>
        </is>
      </c>
      <c r="F37" s="27" t="inlineStr">
        <is>
          <t>Fiscalía General de la Nación; jueces penales</t>
        </is>
      </c>
      <c r="G37" s="27" t="inlineStr">
        <is>
          <t>Nacional</t>
        </is>
      </c>
      <c r="H37" s="27" t="inlineStr">
        <is>
          <t>Vía penal, independiente de la administrativa</t>
        </is>
      </c>
      <c r="I37" s="25" t="n"/>
      <c r="J37" s="24" t="n"/>
      <c r="K37" s="27" t="n"/>
      <c r="L37" s="27" t="inlineStr">
        <is>
          <t>Por verificar</t>
        </is>
      </c>
      <c r="M37" s="24" t="n"/>
      <c r="N37" s="24" t="n"/>
      <c r="O37" s="24" t="n"/>
      <c r="P37" s="27" t="inlineStr">
        <is>
          <t>Baja</t>
        </is>
      </c>
      <c r="Q37" s="27" t="inlineStr">
        <is>
          <t>Distinguir en el texto la vía administrativa (sancionatoria) de la penal.</t>
        </is>
      </c>
      <c r="R37" s="27" t="inlineStr">
        <is>
          <t>Verificar vigencia y extraer texto literal del tipo penal aplicable a recolección ilegal.</t>
        </is>
      </c>
      <c r="S37" s="27" t="inlineStr">
        <is>
          <t>Media</t>
        </is>
      </c>
    </row>
    <row r="38" ht="408.75" customHeight="1" s="16">
      <c r="A38" s="27" t="inlineStr">
        <is>
          <t>N37</t>
        </is>
      </c>
      <c r="B38" s="27" t="inlineStr">
        <is>
          <t>2. Conceptos; 4.4; 5.3</t>
        </is>
      </c>
      <c r="C38" s="27" t="inlineStr">
        <is>
          <t>Objetivos y estructura del MADS; funciones de la Dirección de Bosques, Biodiversidad y Servicios Ecosistémicos (acceso a recursos genéticos, CITES)</t>
        </is>
      </c>
      <c r="D38" s="27" t="inlineStr">
        <is>
          <t>Decreto-Ley 3570 de 2011 (27 sep. 2011)</t>
        </is>
      </c>
      <c r="E38" s="27" t="inlineStr">
        <is>
          <t>Art. 1, inc. 1; art. 16, nums. 13 y 14; art. 40</t>
        </is>
      </c>
      <c r="F38" s="27" t="inlineStr">
        <is>
          <t>MADS – Dirección de Bosques, Biodiversidad y Servicios Ecosistémicos</t>
        </is>
      </c>
      <c r="G38" s="27" t="inlineStr">
        <is>
          <t>Nacional</t>
        </is>
      </c>
      <c r="H38" s="27" t="inlineStr">
        <is>
          <t>La Dirección de Bosques tramita las solicitudes de acceso a recursos genéticos y suscribe los contratos; es autoridad administrativa CITES</t>
        </is>
      </c>
      <c r="I38" s="25" t="inlineStr">
        <is>
          <t>Art. 1, inc. 1 (PDF original, p. 2; compilado en DUR art. 1.1.1.1.1, p. 2): “El Ministerio de Ambiente y Desarrollo Sostenible es el rector de la gestión del ambiente y de los recursos naturales renovables, encargado de orientar y regular el ordenamiento ambiental del territorio y de definir las políticas y regulaciones a las que se sujetarán la recuperación, conservación, protección, ordenamiento, manejo, uso y aprovechamiento sostenible de los recursos naturales renovables y del ambiente de la Nación, a fin de asegurar el desarrollo sostenible, sin perjuicio de las funciones asignadas a otros sectores.”
Art. 16, num. 13 (p. 16): “Ejercer la autoridad administrativa de la Convención sobre el Comercio Internacional de Especies Amenazadas de Fauna y Flora Silvestres -CITES- en Colombia y expedir los certificados CITES.”
Art. 16, num. 14 (p. 16): “Adelantar el trámite relacionado con las solicitudes de acceso a recursos genéticos, aceptar o negar la solicitud, resolver el recurso de reposición que se interponga y suscribir los contratos correspondientes.”
Art. 40 (p. 27): “El presente decreto rige a partir de la fecha de su publicación, deroga todas las normas que le sean contrarias, en especial el Decreto-Ley 216 de 2003, el artículo 18 de Decreto 1124 de 1999, los artículos 1 y 2 del Decreto 3266 de 2004 y modifica el parágrafo 3 del artículo 207 de la Ley 1450 de 2011.”</t>
        </is>
      </c>
      <c r="J38" s="24" t="inlineStr">
        <is>
          <t>Copia escaneada del decreto original firmado (sello de Función Pública), sin notas de vigencia. El art. 1 está compilado en el DUR 1076/2015 (art. 1.1.1.1.1), sin notas de modificación en la versión integrada (actualizada al 2 nov. 2025). El art. 16 no está compilado en el DUR: no se pudo verificar si fue modificado después de 2011.</t>
        </is>
      </c>
      <c r="K38" s="27" t="inlineStr">
        <is>
          <t>Vigente (art. 1 verificado vía DUR; art. 16 por confirmar)</t>
        </is>
      </c>
      <c r="L38" s="27" t="inlineStr">
        <is>
          <t>Por verificar</t>
        </is>
      </c>
      <c r="M38" s="24" t="n"/>
      <c r="N38" s="24" t="n"/>
      <c r="O38" s="24" t="inlineStr">
        <is>
          <t>6 oct. 2026</t>
        </is>
      </c>
      <c r="P38" s="27" t="inlineStr">
        <is>
          <t>Media</t>
        </is>
      </c>
      <c r="Q38" s="27" t="inlineStr">
        <is>
          <t>FILA NUEVA (v7), a partir del PDF aportado por Adri. MÉTODO: texto por OCR con cotejo visual de la imagen; el art. 1 se transcribió de la versión integrada del DUR, con texto concordante. La Res. 1352/2017 cita el art. 16, num. 14, como fundamento de su expedición. Los considerandos confirman la denominación MADS por el art. 12 de la Ley 1444 de 2011.</t>
        </is>
      </c>
      <c r="R38" s="27" t="inlineStr">
        <is>
          <t>Verificar en la versión integrada de Función Pública si el art. 16 tiene modificaciones posteriores (por ejemplo, reestructuraciones del MADS) y registrar la URL oficial.</t>
        </is>
      </c>
      <c r="S38" s="27" t="inlineStr">
        <is>
          <t>Media</t>
        </is>
      </c>
    </row>
    <row r="39" ht="199.5" customHeight="1" s="16">
      <c r="A39" s="27" t="inlineStr">
        <is>
          <t>N38</t>
        </is>
      </c>
      <c r="B39" s="27" t="inlineStr">
        <is>
          <t>5.3</t>
        </is>
      </c>
      <c r="C39" s="27" t="inlineStr">
        <is>
          <t>Designación del MADS como Autoridad Nacional Competente para la Decisión Andina 391</t>
        </is>
      </c>
      <c r="D39" s="27" t="inlineStr">
        <is>
          <t>Decreto 730 de 1997 (14 mar. 1997)</t>
        </is>
      </c>
      <c r="E39" s="27" t="inlineStr">
        <is>
          <t>Por identificar (artículo de designación)</t>
        </is>
      </c>
      <c r="F39" s="27" t="inlineStr">
        <is>
          <t>MADS</t>
        </is>
      </c>
      <c r="G39" s="27" t="inlineStr">
        <is>
          <t>Nacional</t>
        </is>
      </c>
      <c r="H39" s="27" t="inlineStr">
        <is>
          <t>El MADS actúa como Autoridad Nacional Competente para los efectos de la Decisión 391 (solicitudes, contratos y resoluciones de acceso)</t>
        </is>
      </c>
      <c r="I39" s="25" t="n"/>
      <c r="J39" s="24" t="n"/>
      <c r="K39" s="27" t="n"/>
      <c r="L39" s="27" t="inlineStr">
        <is>
          <t>Por verificar</t>
        </is>
      </c>
      <c r="M39" s="24" t="n"/>
      <c r="N39" s="24" t="n"/>
      <c r="O39" s="24" t="n"/>
      <c r="P39" s="27" t="inlineStr">
        <is>
          <t>Media</t>
        </is>
      </c>
      <c r="Q39" s="27" t="inlineStr">
        <is>
          <t>FILA NUEVA (v8), por decisión de Adri. EVIDENCIA SECUNDARIA (no reemplaza el texto del decreto): considerandos de la Res. 1348/2014 (p. 2; también en la Res. 1352/2017, p. 1): “Que el Gobierno Nacional mediante el Decreto 730 del 14 de marzo de 1997, determinó que el hoy Ministerio de Ambiente y Desarrollo Sostenible, es la Autoridad Nacional Competente para actuar en los términos y para los efectos contenidos en la Decisión Andina 391 de 1996 de la Comisión del Acuerdo de Cartagena.” No aparece compilado en la versión integrada del DUR 1076/2015 (búsqueda textual del número). La función operativa está en el DL 3570/2011, art. 16, num. 14 (N37).</t>
        </is>
      </c>
      <c r="R39" s="27" t="inlineStr">
        <is>
          <t>Obtener el texto del Decreto 730 de 1997 (fuente oficial), verificar vigencia y extraer el artículo de designación.</t>
        </is>
      </c>
      <c r="S39" s="27" t="inlineStr">
        <is>
          <t>Media</t>
        </is>
      </c>
    </row>
    <row r="40" ht="408.75" customHeight="1" s="16">
      <c r="A40" s="27" t="inlineStr">
        <is>
          <t>N39</t>
        </is>
      </c>
      <c r="B40" s="27" t="inlineStr">
        <is>
          <t>4.1–4.4; 5.1; 5.3</t>
        </is>
      </c>
      <c r="C40" s="27" t="inlineStr">
        <is>
          <t>Guía ANLA de evaluación del Permiso Marco de Recolección (documento administrativo, no norma)</t>
        </is>
      </c>
      <c r="D40" s="27" t="inlineStr">
        <is>
          <t>ANLA, Guía externa IR-GU-04, versión 1 (18 feb. 2025)</t>
        </is>
      </c>
      <c r="E40" s="27" t="inlineStr">
        <is>
          <t>Secs. 1, 4, 7.1 y 7.3</t>
        </is>
      </c>
      <c r="F40" s="27" t="inlineStr">
        <is>
          <t>ANLA</t>
        </is>
      </c>
      <c r="G40" s="27" t="inlineStr">
        <is>
          <t>Nacional</t>
        </is>
      </c>
      <c r="H40" s="27" t="inlineStr">
        <is>
          <t>Interpretación administrativa de la ANLA para los casos de su competencia (dos o más jurisdicciones)</t>
        </is>
      </c>
      <c r="I40" s="25" t="inlineStr">
        <is>
          <t>Sec. 1, Introducción (p. 1): “Así, Colombia incluyó dentro de sus regulaciones, todas las actividades necesarias para adelantar investigaciones científicas en diversidad biológica, entre ellas la caza y colecta de organismos, mediante el Decreto 309 en el año 2000 y el Decreto 1376 de 2013, ambos compilados en el Decreto Único Reglamentario del Sector Ambiente y Desarrollo Sostenible No. 1076 de 2015.”
Sec. 4, nota sobre definiciones (p. 2): “NOTA: Cualquier contradicción que se presente con las definiciones incluidas en este documento y las definiciones previstas en normas superiores, prevalecerán las indicadas en estas últimas.”
Sec. 7.1, competencia (p. 3): “Los usuarios que pretendan recolectar especímenes en áreas que incluyan además de Parques Nacionales Naturales de Colombia, otras áreas diferentes, deberán allegar la autorización que permite realizar las respectivas actividades de recolección, expedida por la Unidad Administrativa de Parques Nacionales Naturales de Colombia.”
Sec. 7.1, acceso a recursos genéticos (p. 4): “Para los casos en que, a partir de los especímenes colectados con un permiso de recolección de especímenes de especies silvestres de la diversidad biológica con fines no comerciales, se desee acceder a los recursos genéticos y/o productos derivados, con fines industriales, comerciales o de prospección biológica, el interesado deberá suscribir el contrato de acceso a recursos genéticos y/o productos derivados, de conformidad con la legislación nacional vigente. En este caso el MinAmbiente, y no la ANLA, podrá otorgar en el mismo acto el permiso de recolección cuando a ello hubiere lugar.”
Sec. 7.1, muestras de agua y sedimentos (p. 4): “Sí, de acuerdo con lo dispuesto en el artículo 2.2.2.8.1.3° del Decreto 1076 de 2015, el cual compila entre otros el Decreto 1376 del 2013 “por el cual se reglamenta el permiso de recolección de especímenes de especies silvestres de la diversidad biológica con fines de investigación científica no comercial”, el permiso es necesario si se va a recolectar especímenes (individuos, ADN, invertebrados, microorganismos entre otros) asociados a las muestras de agua y suelo.”
Sec. 7.1, tesis de grado (p. 4): “Si. Se pueden realizar las actividades de colecta de la tesis de grado en el permiso marco, siempre y cuando se cuente con el aval del docente y éste se encuentre dentro de los investigadores amparados por el Permiso Marco de Recolección otorgado a la universidad. El proyecto de investigación deberá ser informado como novedad en los informes que se presentan a la entidad.”
Sec. 7.1, vigencia (p. 5): “De acuerdo con el artículo 2.2.2.8.5.3 del Decreto 1076 de 2015, los Permisos Marco de Recolección podrán otorgarse hasta por diez (10) años. Estos términos se contarán a partir de la ejecutoria del permiso, de acuerdo con la firmeza de los actos administrativos estipulada en el artículo 87° de la Ley 1437 de 2011.”
Sec. 7.3, obligación b (p. 7): “b. Una vez finalizado cada proyecto, y dentro de la vigencia del permiso, depositar los especímenes recolectados de manera definitiva, en una colección nacional registrada ante el Instituto de Investigación de Recursos Biológicos "Alexander Von Humboldt", de conformidad con lo dispuesto por la normatividad que regula la materia y presentar las constancias de depósito que fueron remitidas a la autoridad ambiental competente en los informes semestrales. En el caso de que los especímenes no tengan que ser sacrificados o que se mantengan vivos, tratándose de flora y fauna silvestre, durante el desarrollo de la investigación científica, la autoridad ambiental competente podrá autorizar su liberación al medio natural o su entrega a centros de conservación ex situ, tales como zoológicos, acuarios, jardines botánicos, entre otros.”</t>
        </is>
      </c>
      <c r="J40" s="24" t="inlineStr">
        <is>
          <t>Documento institucional vigente en su versión 1 (fecha 18-02-2025; archivo aportado nombrado 2025-06-16). No es norma: la misma guía declara que prevalecen las normas superiores. Pendiente: confirmar que no existe una versión posterior.</t>
        </is>
      </c>
      <c r="K40" s="27" t="inlineStr">
        <is>
          <t>Vigente (versión 1)</t>
        </is>
      </c>
      <c r="L40" s="27" t="inlineStr">
        <is>
          <t>Verificado</t>
        </is>
      </c>
      <c r="M40" s="24" t="n"/>
      <c r="N40" s="24" t="inlineStr">
        <is>
          <t>https://www.anla.gov.co/01_anla/normatividad/documentos-estrategicos/formatos-para-tramites</t>
        </is>
      </c>
      <c r="O40" s="24" t="inlineStr">
        <is>
          <t>6 oct. 2026</t>
        </is>
      </c>
      <c r="P40" s="27" t="inlineStr">
        <is>
          <t>Media</t>
        </is>
      </c>
      <c r="Q40" s="27" t="inlineStr">
        <is>
          <t>FILA NUEVA (v9). USO EN EL CAPÍTULO: citar como interpretación de la autoridad, nunca como fuente normativa. HALLAZGOS: (1) primera fuente oficial que se pronuncia sobre muestras de agua y suelo (relevante para eDNA, ver N15); (2) discrepancias con el DUR en el inicio de la vigencia (ejecutoria frente a expedición) y en la oportunidad del depósito (ver N07, N10); (3) afirma que los Decretos 309 de 2000 y 1376 de 2013 están "ambos compilados" en el DUR (ver N40); (4) la guía lista los arts. 8, 27 y 69 de la Constitución como normativa del trámite.</t>
        </is>
      </c>
      <c r="R40" s="27" t="inlineStr">
        <is>
          <t>Confirmar en el sitio de la ANLA que la versión 1 es la vigente y registrar la URL exacta del PDF.</t>
        </is>
      </c>
      <c r="S40" s="27" t="inlineStr">
        <is>
          <t>Baja</t>
        </is>
      </c>
    </row>
    <row r="41" ht="408.75" customHeight="1" s="16">
      <c r="A41" s="27" t="inlineStr">
        <is>
          <t>N40</t>
        </is>
      </c>
      <c r="B41" s="27" t="inlineStr">
        <is>
          <t>2; 4.1; 5.1</t>
        </is>
      </c>
      <c r="C41" s="27" t="inlineStr">
        <is>
          <t>Permiso de estudio con fines de investigación científica en diversidad biológica (régimen del Decreto 309 de 2000, compilado en el DUR)</t>
        </is>
      </c>
      <c r="D41" s="27" t="inlineStr">
        <is>
          <t>Decreto 309 de 2000 (25 feb. 2000; Diario Oficial 43.915, 1 mar. 2000), modificado por los Decretos 1553 de 2000 y 302 de 2003; compilado en el DUR 1076/2015, Lib. 2, Parte 2, Tít. 1, Cap. 5</t>
        </is>
      </c>
      <c r="E41" s="27" t="inlineStr">
        <is>
          <t>Arts. 2.2.1.5.1.1–2.2.1.5.1.15</t>
        </is>
      </c>
      <c r="F41" s="27" t="inlineStr">
        <is>
          <t>CAR/CDS; grandes centros urbanos; MADS (espacios marítimos); PNN; ANLA (dos o más jurisdicciones)</t>
        </is>
      </c>
      <c r="G41" s="27" t="inlineStr">
        <is>
          <t>Nacional y regional</t>
        </is>
      </c>
      <c r="H41" s="27" t="inlineStr">
        <is>
          <t>Nums. 1–3 del art. 2.2.1.5.1.4: CAR/CDS o gran centro urbano en su jurisdicción; MADS en espacios marítimos (salvo CAR con jurisdicción en el mar); PNN dentro del SPNN. Parágrafo: ANLA si son dos o más autoridades.</t>
        </is>
      </c>
      <c r="I41" s="25" t="inlineStr">
        <is>
          <t>Art. 2.2.1.5.1.1, inc. 1 (p. 97): “El presente capítulo se aplicará a todas las investigaciones científicas sobre diversidad biológica que se realicen en el territorio nacional, sin perjuicio de lo dispuesto por la Ley 13 de 1990 acerca de la competencia de la Autoridad nacional de Acuicultura y Pesca (AUNAP) o la entidad que haga sus veces en materia de investigación científica de recursos pesqueros, y de las competencias asignadas a la Dimar y al Ministerio de Relaciones Exteriores por el Decreto 1070 de 2015 de los artículos 2.4.5.1 a 2.4.5.24 en lo que concierne a la investigación científica o tecnológica marina".”
Art. 2.2.1.5.1.2, inc. 1 (p. 97): “Las personas naturales o jurídicas que pretendan adelantar un proyecto de investigación científica en diversidad biológica que involucre alguna o todas las actividades de colecta, recolecta, captura, caza, pesca, manipulación del recurso biológico y su movilización en el territorio nacional, deberán obtener permiso de estudio, el cual incluirá todas las actividades solicitadas”
Art. 2.2.1.5.1.2, par. 2 (p. 97): “PARÁGRAFO 2. Tampoco requerirán permiso de estudio los investigadores que no involucren actividades de colecta, recolecta, captura, caza, pesca o manipulación del recurso biológico dentro de su proyecto de investigación científica.”
Art. 2.2.1.5.1.4, nums. 1–3 (p. 98): “las autoridades ambientales competentes para el otorgamiento de los permisos de estudio con fines de investigación científica son: 1. La Corporación Autónoma Regional o de Desarrollo Sostenible o los Grandes Centros Urbanos, cuando las actividades de investigación se desarrollen exclusivamente en sus respectivas jurisdicciones. 2. El Ministerio del Medio Ambiente. Cuando se trate de investigaciones en espacios marítimos colombianos, salvo cuando las Corporaciones Autónomas Regionales o de Desarrollo Sostenible tengan jurisdicción en el mar de acuerdo con la Ley, en cuyo caso ésta será la autoridad competente. 3. Parques Nacionales Naturales de Colombia. Cuando las actividades de investigación se desarrollen dentro de las áreas del Sistema de Parques Nacionales Naturales, en cuyo caso el otorgamiento del permiso de estudio se efectuará a través de Parques Nacionales Naturales de Colombia.”</t>
        </is>
      </c>
      <c r="J41" s="24" t="inlineStr">
        <is>
          <t>La versión integrada del DUR (actualizada al 2 nov. 2025) mantiene el Cap. 5 del Tít. 1 sin notas de derogatoria. El Decreto 1376 de 2013 solo contiene derogatoria tácita (art. 32: "deroga las disposiciones que le sean contrarias") y un régimen de transición para los "permisos de estudio con fines de investigación científica" anteriores (art. 31, compilado como 2.2.2.8.6.9). El art. 3.1.1 del DUR excluye de la derogatoria integral las normas reglamentarias no compiladas, no las compiladas. (v10) La versión de Función Pública del Decreto 309 de 2000 (PDF generado el 6 oct. 2026) tampoco trae nota de derogatoria: solo registra la modificación del par. 1 del art. 2 por el Decreto 302 de 2003 y del inc. 2 del art. 12 por el Decreto 1553 de 2000. Ninguna de las fuentes oficiales revisadas (DUR integrado, Decreto 309 integrado, Decreto 1376) declara su derogatoria expresa.</t>
        </is>
      </c>
      <c r="K41" s="27" t="inlineStr">
        <is>
          <t>Compilado sin nota de derogatoria; vigencia material discutible</t>
        </is>
      </c>
      <c r="L41" s="27" t="inlineStr">
        <is>
          <t>Por verificar</t>
        </is>
      </c>
      <c r="M41" s="24" t="inlineStr">
        <is>
          <t>https://www.funcionpublica.gov.co/eva/gestornormativo/norma.php?i=78153</t>
        </is>
      </c>
      <c r="N41" s="24" t="inlineStr">
        <is>
          <t>https://www.funcionpublica.gov.co/eva/gestornormativo/ (Decreto 309 de 2000, PDF aportado)</t>
        </is>
      </c>
      <c r="O41" s="24" t="inlineStr">
        <is>
          <t>6 oct. 2026</t>
        </is>
      </c>
      <c r="P41" s="27" t="inlineStr">
        <is>
          <t>Baja</t>
        </is>
      </c>
      <c r="Q41" s="27" t="inlineStr">
        <is>
          <t>FILA NUEVA (v9). INCONSISTENCIA NORMATIVA CRÍTICA: el DUR conserva dos regímenes para la investigación con colecta: (a) el "permiso de estudio con fines de investigación científica" (Cap. 5, Tít. 1, Decreto 309 de 2000) y (b) el "permiso de recolección" (Cap. 8, Tít. 2, Decreto 1376 de 2013). El art. 2.2.2.8.6.9 (transición) sugiere que (b) sustituyó a (a), pero ninguna norma revisada lo deroga expresamente, y la Guía ANLA (N39) los presenta como "ambos compilados". Hay diferencias de competencia (el régimen 309 asigna al MADS los espacios marítimos). No resolver por inferencia: requiere fuente que defina la vigencia (posiblemente el concepto MADS 2025 de N33, jurisprudencia o literatura jurídica). (v10) DECISIÓN DE ADRI: nota breve en 2.2 sobre la coexistencia de dos regímenes compilados y tratamiento como zona gris en la sección 6; ninguna se redacta hasta definir la vigencia. DATO ADICIONAL: el art. 25 del Decreto 309 exige autorización de la comunidad para estudios en territorios indígenas o de comunidades negras; si se considera vigente, es relevante para 4.2.</t>
        </is>
      </c>
      <c r="R41" s="27" t="inlineStr">
        <is>
          <t>Determinar la vigencia material del Cap. 5, Tít. 1 del DUR frente al Decreto 1376 de 2013 (revisar el concepto MADS 2025, SUIN-Juriscol y jurisprudencia del Consejo de Estado). Decidir si el capítulo lo menciona en 2.1.</t>
        </is>
      </c>
      <c r="S41" s="27" t="inlineStr">
        <is>
          <t>Alta</t>
        </is>
      </c>
    </row>
    <row r="42">
      <c r="A42" s="27" t="inlineStr">
        <is>
          <t>N41</t>
        </is>
      </c>
      <c r="B42" s="27" t="inlineStr">
        <is>
          <t>3.3; 3.6; 7</t>
        </is>
      </c>
      <c r="C42" s="27" t="inlineStr">
        <is>
          <t>Caso ilustrativo: requisitos de información primaria de fauna en una solicitud de sustracción (desistimiento tácito)</t>
        </is>
      </c>
      <c r="D42" s="27" t="inlineStr">
        <is>
          <t>Auto 328 del 4 oct. 2024, MADS – Dirección de Bosques, Biodiversidad y Servicios Ecosistémicos (expediente SRF-00636, Reserva Forestal del Cocuy)</t>
        </is>
      </c>
      <c r="E42" s="27" t="inlineStr">
        <is>
          <t>Considerandos, secc. II (Concepto Técnico 118 de 2023), nums. 3.2–3.4 (pp. 4–9)</t>
        </is>
      </c>
      <c r="F42" s="27" t="inlineStr">
        <is>
          <t>MADS</t>
        </is>
      </c>
      <c r="G42" s="27" t="inlineStr">
        <is>
          <t>Nacional</t>
        </is>
      </c>
      <c r="H42" s="27" t="inlineStr">
        <is>
          <t>Reserva forestal nacional de Ley 2 de 1959</t>
        </is>
      </c>
      <c r="I42" s="25" t="inlineStr">
        <is>
          <t>p. 7: “[...] no adjuntan formularios de campo sobre el registro de la información de composición de especies y sus abundancias y no hay soportes de la tabulación de datos ni de los cálculos de los índices de diversidad, riqueza y esfuerzo del muestreo realizado (en formato Excel), por lo que no se cuenta con información soporte primaria que permita verificar la representatividad del muestreo presentado para el grupo de los anfibio y reptiles.”
p. 8: “[...] tampoco se evidencian análisis específicos de los estimadores empleados (CHAO) y tabulación de los mismos respecto a las bases de datos de campo obtenidos y no aportan evidencias de la identificación taxonómica de especies (mediante certificados de identificación y/o profesional que realizó la labor con experticia en el tema) [...]”
p. 9 (cita los términos de referencia de la Res. 1526/2012): “Para los grupos de anfibios, reptiles, aves, mamíferos, macroinvertebrados acuáticos y peces, se identificarán las especies asociadas a cada una de las coberturas vegetales existentes y cuerpos de agua asociados a cada ecosistema identificado, utilizando la metodología de Evaluación Ecológica Rápida (EER). La información presentada debe estar soportada por los formularios de campo. (...)”</t>
        </is>
      </c>
      <c r="J42" s="24" t="inlineStr">
        <is>
          <t>Acto administrativo particular. Los términos de referencia citados (Res. 1526/2012) fueron reemplazados por la Res. 1705/2024 (ver N25).</t>
        </is>
      </c>
      <c r="K42" s="27" t="inlineStr">
        <is>
          <t>Acto particular (no norma general)</t>
        </is>
      </c>
      <c r="L42" s="27" t="inlineStr">
        <is>
          <t>Verificado</t>
        </is>
      </c>
      <c r="M42" s="24" t="inlineStr">
        <is>
          <t>Copia escaneada firmada aportada por Adri (21 págs.); leídas pp. 1–9</t>
        </is>
      </c>
      <c r="N42" s="24" t="n"/>
      <c r="O42" s="24" t="inlineStr">
        <is>
          <t>9 oct. 2026</t>
        </is>
      </c>
      <c r="P42" s="27" t="inlineStr">
        <is>
          <t>Alta</t>
        </is>
      </c>
      <c r="Q42" s="27" t="inlineStr">
        <is>
          <t>Uso: caso ilustrativo para la sección 7 (errores frecuentes de consultores): información secundaria presentada como primaria; sin formularios de campo, bases de datos ni soportes de identificación taxonómica; coberturas sin muestrear; grupos omitidos (macroinvertebrados acuáticos y peces). Citar como acto administrativo, sin nombres de particulares. Leer pp. 10–21 (parte resolutiva) antes de citar el resultado. El auto no menciona el permiso de recolección: no inferir nada al respecto.</t>
        </is>
      </c>
      <c r="R42" s="27" t="inlineStr">
        <is>
          <t>Leer pp. 10–21.</t>
        </is>
      </c>
      <c r="S42" s="27" t="inlineStr">
        <is>
          <t>Baja</t>
        </is>
      </c>
    </row>
  </sheetData>
  <autoFilter ref="A1:S37"/>
  <dataValidations count="4">
    <dataValidation sqref="L2:L300" showDropDown="0" showInputMessage="0" showErrorMessage="0" allowBlank="1" type="list" errorStyle="stop" operator="between">
      <formula1>"Por verificar,Vigencia verificada,Verificado"</formula1>
      <formula2>0</formula2>
    </dataValidation>
    <dataValidation sqref="P2:P300" showDropDown="0" showInputMessage="0" showErrorMessage="0" allowBlank="1" type="list" errorStyle="stop" operator="between">
      <formula1>"Alta,Media,Baja"</formula1>
      <formula2>0</formula2>
    </dataValidation>
    <dataValidation sqref="G2:G300" showDropDown="0" showInputMessage="0" showErrorMessage="0" allowBlank="1" type="list" errorStyle="stop" operator="between">
      <formula1>"Nacional,Regional,Nacional y regional,Nacional / internacional,Comunitario / nacional,Internacional"</formula1>
      <formula2>0</formula2>
    </dataValidation>
    <dataValidation sqref="S2:S300" showDropDown="0" showInputMessage="0" showErrorMessage="0" allowBlank="1" type="list" errorStyle="stop" operator="between">
      <formula1>"Alta,Media,Baja,—"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6"/>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15" min="1" max="1"/>
    <col width="30" customWidth="1" style="15" min="2" max="2"/>
    <col width="7" customWidth="1" style="15" min="3" max="3"/>
    <col width="42" customWidth="1" style="15" min="4" max="4"/>
    <col width="22" customWidth="1" style="15" min="5" max="5"/>
    <col width="16" customWidth="1" style="15" min="6" max="6"/>
    <col width="28" customWidth="1" style="15" min="7" max="7"/>
    <col width="10" customWidth="1" style="15" min="8" max="8"/>
    <col width="40" customWidth="1" style="15" min="9" max="10"/>
    <col width="16" customWidth="1" style="15" min="11" max="11"/>
    <col width="14" customWidth="1" style="15" min="12" max="12"/>
    <col width="30" customWidth="1" style="15" min="13" max="13"/>
  </cols>
  <sheetData>
    <row r="1" ht="31.5" customHeight="1" s="16">
      <c r="A1" s="22" t="inlineStr">
        <is>
          <t>ID</t>
        </is>
      </c>
      <c r="B1" s="22" t="inlineStr">
        <is>
          <t>Autores</t>
        </is>
      </c>
      <c r="C1" s="22" t="inlineStr">
        <is>
          <t>Año</t>
        </is>
      </c>
      <c r="D1" s="22" t="inlineStr">
        <is>
          <t>Título</t>
        </is>
      </c>
      <c r="E1" s="22" t="inlineStr">
        <is>
          <t>Revista</t>
        </is>
      </c>
      <c r="F1" s="22" t="inlineStr">
        <is>
          <t>Vol(núm): páginas</t>
        </is>
      </c>
      <c r="G1" s="22" t="inlineStr">
        <is>
          <t>DOI</t>
        </is>
      </c>
      <c r="H1" s="22" t="inlineStr">
        <is>
          <t>Página de la cita</t>
        </is>
      </c>
      <c r="I1" s="22" t="inlineStr">
        <is>
          <t>Cita textual (verbatim)</t>
        </is>
      </c>
      <c r="J1" s="22" t="inlineStr">
        <is>
          <t>Argumento central</t>
        </is>
      </c>
      <c r="K1" s="22" t="inlineStr">
        <is>
          <t>Sección del capítulo</t>
        </is>
      </c>
      <c r="L1" s="22" t="inlineStr">
        <is>
          <t>Estado de verificación</t>
        </is>
      </c>
      <c r="M1" s="22" t="inlineStr">
        <is>
          <t>Notas</t>
        </is>
      </c>
    </row>
    <row r="2" ht="23.25" customHeight="1" s="16">
      <c r="A2" s="23" t="inlineStr">
        <is>
          <t>L01</t>
        </is>
      </c>
      <c r="B2" s="23" t="inlineStr">
        <is>
          <t>Prathapan, K.D., Pethiyagoda, R., Bawa, K.S., Raven, P.H., Rajan, P.D., y 172 cofirmantes de 35 países</t>
        </is>
      </c>
      <c r="C2" s="23" t="inlineStr">
        <is>
          <t>2018</t>
        </is>
      </c>
      <c r="D2" s="23" t="inlineStr">
        <is>
          <t>When the cure kills—CBD limits biodiversity research</t>
        </is>
      </c>
      <c r="E2" s="23" t="inlineStr">
        <is>
          <t>Science</t>
        </is>
      </c>
      <c r="F2" s="23" t="inlineStr">
        <is>
          <t>360(6396): 1405–1406</t>
        </is>
      </c>
      <c r="G2" s="23" t="inlineStr">
        <is>
          <t>10.1126/science.aat9844</t>
        </is>
      </c>
      <c r="H2" s="24" t="inlineStr">
        <is>
          <t>p. 1405</t>
        </is>
      </c>
      <c r="I2" s="24" t="inlineStr">
        <is>
          <t>“Instead, national regulations created in anticipation of commercial benefits, particularly in many countries that are rich in biodiversity, have curtailed biodiversity research by in-country scientists as well as international collaboration (1).”</t>
        </is>
      </c>
      <c r="J2" s="23" t="inlineStr">
        <is>
          <t>Los regímenes nacionales de acceso y participación en beneficios derivados del CDB y del Protocolo de Nagoya, diseñados ante beneficios comerciales esperados y en gran parte no realizados, restringen la investigación taxonómica y de inventario y la colaboración internacional. Proponen diferenciar la investigación sin fines de lucro, de dominio público, de la investigación comercial (p. 1406).</t>
        </is>
      </c>
      <c r="K2" s="23" t="inlineStr">
        <is>
          <t>1. Introducción; 6</t>
        </is>
      </c>
      <c r="L2" s="24" t="inlineStr">
        <is>
          <t>Verificado</t>
        </is>
      </c>
      <c r="M2" s="23" t="inlineStr">
        <is>
          <t>Verificado contra el PDF aportado (6 oct. 2026): Science 360(6396): 1405–1406, 29 jun. 2018; DOI 10.1126/science.aat9844. Policy Forum; subtítulo: "National laws fearing biopiracy squelch taxonomy studies". No menciona a Colombia; el ejemplo latinoamericano es Brasil (apelación de más de 1200 investigadores, p. 1406). Cita citable en la Introducción.</t>
        </is>
      </c>
    </row>
    <row r="3" ht="23.25" customHeight="1" s="16">
      <c r="A3" s="23" t="inlineStr">
        <is>
          <t>L02</t>
        </is>
      </c>
      <c r="B3" s="23" t="inlineStr">
        <is>
          <t>Neumann, D., Borisenko, A.V., Coddington, J.A., Häuser, C.L., Butler, C.R., Casino, A., Vogel, J.C., Haszprunar, G., Giere, P.</t>
        </is>
      </c>
      <c r="C3" s="23" t="inlineStr">
        <is>
          <t>2018</t>
        </is>
      </c>
      <c r="D3" s="23" t="inlineStr">
        <is>
          <t>Global biodiversity research tied up by juridical interpretations of access and benefit sharing</t>
        </is>
      </c>
      <c r="E3" s="23" t="inlineStr">
        <is>
          <t>Organisms Diversity &amp; Evolution</t>
        </is>
      </c>
      <c r="F3" s="23" t="inlineStr">
        <is>
          <t>18: 1–12</t>
        </is>
      </c>
      <c r="G3" s="23" t="inlineStr">
        <is>
          <t>10.1007/s13127-017-0347-1</t>
        </is>
      </c>
      <c r="H3" s="24" t="inlineStr">
        <is>
          <t>p. 1 (resumen)</t>
        </is>
      </c>
      <c r="I3" s="24" t="inlineStr">
        <is>
          <t>“Instead of promoting basic research in conservation and biodiversity, the current situation potentially jeopardises international collaboration, biodiversity research and its applications in monitoring, biocontrol and food safety.”</t>
        </is>
      </c>
      <c r="J3" s="23" t="inlineStr">
        <is>
          <t>Las definiciones vagas, la falta de claridad jurídica y de coordinación y las regulaciones restrictivas en la implementación del Protocolo de Nagoya afectan la transferencia de material biológico y datos asociados, y ponen en riesgo la investigación básica, la colaboración internacional y sus aplicaciones (incluido el monitoreo).</t>
        </is>
      </c>
      <c r="K3" s="23" t="inlineStr">
        <is>
          <t>1. Introducción; 5.3; 6</t>
        </is>
      </c>
      <c r="L3" s="24" t="inlineStr">
        <is>
          <t>Verificado</t>
        </is>
      </c>
      <c r="M3" s="23" t="inlineStr">
        <is>
          <t>Verificado contra el PDF aportado (6 oct. 2026): Org Divers Evol (2018) 18: 1–12; DOI 10.1007/s13127-017-0347-1; Forum Paper; recibido 6 jul. 2017, publicado en línea 27 nov. 2017. No menciona a Colombia. La alusión a "monitoring" en la cita conecta con 5.4.</t>
        </is>
      </c>
    </row>
    <row r="4" ht="23.25" customHeight="1" s="16">
      <c r="A4" s="23" t="inlineStr">
        <is>
          <t>L03</t>
        </is>
      </c>
      <c r="B4" s="23" t="inlineStr">
        <is>
          <t>Cooper, C.B., Shirk, J., Zuckerberg, B.</t>
        </is>
      </c>
      <c r="C4" s="23" t="inlineStr">
        <is>
          <t>2014</t>
        </is>
      </c>
      <c r="D4" s="23" t="inlineStr">
        <is>
          <t>The invisible prevalence of citizen science in global research: migratory birds and climate change</t>
        </is>
      </c>
      <c r="E4" s="23" t="inlineStr">
        <is>
          <t>PLoS ONE</t>
        </is>
      </c>
      <c r="F4" s="23" t="inlineStr">
        <is>
          <t>9(9): e106508</t>
        </is>
      </c>
      <c r="G4" s="23" t="inlineStr">
        <is>
          <t>10.1371/journal.pone.0106508</t>
        </is>
      </c>
      <c r="H4" s="25" t="n"/>
      <c r="I4" s="25" t="n"/>
      <c r="J4" s="23" t="inlineStr">
        <is>
          <t>Subregistro del aporte de la ciencia ciudadana en publicaciones.</t>
        </is>
      </c>
      <c r="K4" s="23" t="inlineStr">
        <is>
          <t>5.4; 6</t>
        </is>
      </c>
      <c r="L4" s="24" t="inlineStr">
        <is>
          <t>Por verificar</t>
        </is>
      </c>
      <c r="M4" s="23" t="inlineStr">
        <is>
          <t>Datos bibliográficos de memoria: verificar todo, incluido DOI.</t>
        </is>
      </c>
    </row>
    <row r="5" ht="23.25" customHeight="1" s="16">
      <c r="A5" s="23" t="inlineStr">
        <is>
          <t>L04</t>
        </is>
      </c>
      <c r="B5" s="23" t="inlineStr">
        <is>
          <t>Ward-Fear, G. et al.</t>
        </is>
      </c>
      <c r="C5" s="23" t="inlineStr">
        <is>
          <t>2020</t>
        </is>
      </c>
      <c r="D5" s="23" t="inlineStr">
        <is>
          <t>Authorship protocols must change to credit citizen scientists</t>
        </is>
      </c>
      <c r="E5" s="23" t="inlineStr">
        <is>
          <t>Trends in Ecology &amp; Evolution</t>
        </is>
      </c>
      <c r="F5" s="23" t="inlineStr">
        <is>
          <t>35(3): 187–190</t>
        </is>
      </c>
      <c r="G5" s="23" t="inlineStr">
        <is>
          <t>10.1016/j.tree.2019.10.007</t>
        </is>
      </c>
      <c r="H5" s="25" t="n"/>
      <c r="I5" s="25" t="n"/>
      <c r="J5" s="23" t="inlineStr">
        <is>
          <t>Propuesta de protocolos de autoría que reconozcan a participantes.</t>
        </is>
      </c>
      <c r="K5" s="23" t="inlineStr">
        <is>
          <t>5.4; 6</t>
        </is>
      </c>
      <c r="L5" s="24" t="inlineStr">
        <is>
          <t>Por verificar</t>
        </is>
      </c>
      <c r="M5" s="23" t="inlineStr">
        <is>
          <t>Datos bibliográficos de memoria: verificar todo, incluido DOI.</t>
        </is>
      </c>
    </row>
    <row r="6" ht="23.25" customHeight="1" s="16">
      <c r="A6" s="23" t="inlineStr">
        <is>
          <t>L05</t>
        </is>
      </c>
      <c r="B6" s="23" t="inlineStr">
        <is>
          <t>Cooper, C.B. et al.</t>
        </is>
      </c>
      <c r="C6" s="23" t="inlineStr">
        <is>
          <t>2021</t>
        </is>
      </c>
      <c r="D6" s="23" t="inlineStr">
        <is>
          <t>Inclusion in citizen science: The conundrum of rebranding</t>
        </is>
      </c>
      <c r="E6" s="23" t="inlineStr">
        <is>
          <t>Science</t>
        </is>
      </c>
      <c r="F6" s="23" t="inlineStr">
        <is>
          <t>372(6549): 1386–1388</t>
        </is>
      </c>
      <c r="G6" s="23" t="inlineStr">
        <is>
          <t>10.1126/science.abi6487</t>
        </is>
      </c>
      <c r="H6" s="25" t="n"/>
      <c r="I6" s="25" t="n"/>
      <c r="J6" s="23" t="inlineStr">
        <is>
          <t>Riesgo de cambiar la etiqueta de la participación sin inclusión real.</t>
        </is>
      </c>
      <c r="K6" s="23" t="inlineStr">
        <is>
          <t>5.4; 6</t>
        </is>
      </c>
      <c r="L6" s="24" t="inlineStr">
        <is>
          <t>Por verificar</t>
        </is>
      </c>
      <c r="M6" s="23" t="inlineStr">
        <is>
          <t>Datos bibliográficos de memoria: verificar todo, incluido DOI.</t>
        </is>
      </c>
    </row>
  </sheetData>
  <dataValidations count="1">
    <dataValidation sqref="L2:L200" showDropDown="0" showInputMessage="0" showErrorMessage="0" allowBlank="1" type="list" errorStyle="stop" operator="between">
      <formula1>"Por verificar,Verificado"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5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5" min="1" max="1"/>
    <col width="48" customWidth="1" style="15" min="2" max="2"/>
    <col width="60" customWidth="1" style="15" min="3" max="3"/>
    <col width="45" customWidth="1" style="15" min="4" max="4"/>
  </cols>
  <sheetData>
    <row r="1" ht="15" customHeight="1" s="16">
      <c r="A1" s="28" t="inlineStr">
        <is>
          <t>ID / tema</t>
        </is>
      </c>
      <c r="B1" s="28" t="inlineStr">
        <is>
          <t>Resultado de auditoría</t>
        </is>
      </c>
      <c r="C1" s="28" t="inlineStr">
        <is>
          <t>Acción en versión 2</t>
        </is>
      </c>
      <c r="D1" s="28" t="inlineStr">
        <is>
          <t>Soporte principal</t>
        </is>
      </c>
    </row>
    <row r="2" ht="15" customHeight="1" s="16">
      <c r="A2" s="29" t="inlineStr">
        <is>
          <t>N23 – especies amenazadas</t>
        </is>
      </c>
      <c r="B2" s="29" t="inlineStr">
        <is>
          <t>1912/2017 derogada por 126/2024</t>
        </is>
      </c>
      <c r="C2" s="29" t="inlineStr">
        <is>
          <t>Reemplazada por Res. 126/2024; se marca derogatoria explícita</t>
        </is>
      </c>
      <c r="D2" s="29" t="inlineStr">
        <is>
          <t>MinAmbiente, Res. 126/2024</t>
        </is>
      </c>
    </row>
    <row r="3" ht="27.75" customHeight="1" s="16">
      <c r="A3" s="29" t="inlineStr">
        <is>
          <t>N21–N22 – bienestar animal</t>
        </is>
      </c>
      <c r="B3" s="29" t="inlineStr">
        <is>
          <t>Ley 84/1989 y Ley 1774/2016 fueron modificadas por Ley 2455/2025</t>
        </is>
      </c>
      <c r="C3" s="29" t="inlineStr">
        <is>
          <t>Se actualizan como régimen vigente con modificaciones</t>
        </is>
      </c>
      <c r="D3" s="29" t="inlineStr">
        <is>
          <t>Ley 2455/2025</t>
        </is>
      </c>
    </row>
    <row r="4" ht="27.75" customHeight="1" s="16">
      <c r="A4" s="29" t="inlineStr">
        <is>
          <t>N16 – Nagoya</t>
        </is>
      </c>
      <c r="B4" s="29" t="inlineStr">
        <is>
          <t>Colombia firmó pero no es Parte del Protocolo de Nagoya</t>
        </is>
      </c>
      <c r="C4" s="29" t="inlineStr">
        <is>
          <t>Se corrige el estado; no presentarlo como ratificado</t>
        </is>
      </c>
      <c r="D4" s="29" t="inlineStr">
        <is>
          <t>CBD country profile</t>
        </is>
      </c>
    </row>
    <row r="5" ht="27.75" customHeight="1" s="16">
      <c r="A5" s="29" t="inlineStr">
        <is>
          <t>N11 – SUNL</t>
        </is>
      </c>
      <c r="B5" s="29" t="inlineStr">
        <is>
          <t>Resolución 1909/2017 modificada por 0081/2018</t>
        </is>
      </c>
      <c r="C5" s="29" t="inlineStr">
        <is>
          <t>Se incorpora modificación y se amplía descripción a especímenes de diversidad biológica</t>
        </is>
      </c>
      <c r="D5" s="29" t="inlineStr">
        <is>
          <t>MinAmbiente</t>
        </is>
      </c>
    </row>
    <row r="6" ht="41.25" customHeight="1" s="16">
      <c r="A6" s="29" t="inlineStr">
        <is>
          <t>N29 – veda</t>
        </is>
      </c>
      <c r="B6" s="29" t="inlineStr">
        <is>
          <t>Decreto 2106/2019 eliminó trámite separado de levantamiento parcial para proyectos con instrumento ambiental</t>
        </is>
      </c>
      <c r="C6" s="29" t="inlineStr">
        <is>
          <t>Se actualiza criterio de competencia/trámite</t>
        </is>
      </c>
      <c r="D6" s="29" t="inlineStr">
        <is>
          <t>MinAmbiente – Levantamiento de veda</t>
        </is>
      </c>
    </row>
    <row r="7" ht="41.25" customHeight="1" s="16">
      <c r="A7" s="29" t="inlineStr">
        <is>
          <t>N07/N09 – permisos de recolección</t>
        </is>
      </c>
      <c r="B7" s="29" t="inlineStr">
        <is>
          <t>La competencia depende del régimen y del número de jurisdicciones; no todos los permisos siguen la misma regla</t>
        </is>
      </c>
      <c r="C7" s="29" t="inlineStr">
        <is>
          <t>Se separan investigación científica no comercial y estudios ambientales</t>
        </is>
      </c>
      <c r="D7" s="29" t="inlineStr">
        <is>
          <t>DUR 1076/2015; concepto MADS 2025</t>
        </is>
      </c>
    </row>
    <row r="8" ht="27.75" customHeight="1" s="16">
      <c r="A8" s="29" t="inlineStr">
        <is>
          <t>N32 – Escazú</t>
        </is>
      </c>
      <c r="B8" s="29" t="inlineStr">
        <is>
          <t>Norma pertinente para participación, información ambiental y justicia; no estaba en la tabla</t>
        </is>
      </c>
      <c r="C8" s="29" t="inlineStr">
        <is>
          <t>Se agrega como fila nueva</t>
        </is>
      </c>
      <c r="D8" s="29" t="inlineStr">
        <is>
          <t>Ley 2273/2022 / ANLA</t>
        </is>
      </c>
    </row>
    <row r="9" ht="27.75" customHeight="1" s="16">
      <c r="A9" s="29" t="inlineStr">
        <is>
          <t>N13 – material biológico</t>
        </is>
      </c>
      <c r="B9" s="29" t="inlineStr">
        <is>
          <t>No existe una sola norma sanitaria aplicable a todo material biológico</t>
        </is>
      </c>
      <c r="C9" s="29" t="inlineStr">
        <is>
          <t>Se evita inventar una resolución general; se deja como marco ICA según material/destino</t>
        </is>
      </c>
      <c r="D9" s="29" t="inlineStr">
        <is>
          <t>ICA – procedimientos CZE/CIS</t>
        </is>
      </c>
    </row>
    <row r="10" ht="27.75" customHeight="1" s="16">
      <c r="A10" s="29" t="inlineStr">
        <is>
          <t>2026 – revisión general</t>
        </is>
      </c>
      <c r="B10" s="29" t="inlineStr">
        <is>
          <t>Se revisó normativa reciente del MinAmbiente hasta 6-oct-2026</t>
        </is>
      </c>
      <c r="C10" s="29" t="inlineStr">
        <is>
          <t>No se agregaron decretos 2026 que no inciden directamente en estos permisos; se deja constancia de la revisión</t>
        </is>
      </c>
      <c r="D10" s="29" t="inlineStr">
        <is>
          <t>MinAmbiente – Normativa 2026</t>
        </is>
      </c>
    </row>
    <row r="11" ht="15" customHeight="1" s="16">
      <c r="A11" s="15" t="inlineStr">
        <is>
          <t>Fecha</t>
        </is>
      </c>
      <c r="B11" s="15" t="inlineStr">
        <is>
          <t>ID</t>
        </is>
      </c>
      <c r="C11" s="15" t="inlineStr">
        <is>
          <t>Cambio</t>
        </is>
      </c>
      <c r="D11" s="15" t="inlineStr">
        <is>
          <t>Norma vigente / referencia</t>
        </is>
      </c>
      <c r="E11" s="15" t="inlineStr">
        <is>
          <t>Fuente</t>
        </is>
      </c>
    </row>
    <row r="12" ht="15" customHeight="1" s="16">
      <c r="A12" s="15" t="inlineStr">
        <is>
          <t>6 oct. 2026</t>
        </is>
      </c>
      <c r="B12" s="15" t="inlineStr">
        <is>
          <t>N25</t>
        </is>
      </c>
      <c r="C12" s="15" t="inlineStr">
        <is>
          <t>Se reemplaza la referencia a Res. 1526/2012 como vigente. Se incorpora Res. 1705/2024 y se registra la derogatoria del régimen anterior.</t>
        </is>
      </c>
      <c r="D12" s="15" t="inlineStr">
        <is>
          <t>Resolución 1705 de 2024</t>
        </is>
      </c>
      <c r="E12" s="15" t="inlineStr">
        <is>
          <t>https://www.minambiente.gov.co/wp-content/uploads/2025/01/Resolucion-1705-de-2024.pdf</t>
        </is>
      </c>
    </row>
    <row r="13" ht="15" customHeight="1" s="16">
      <c r="A13" s="15" t="inlineStr">
        <is>
          <t>6 oct. 2026</t>
        </is>
      </c>
      <c r="B13" s="15" t="inlineStr">
        <is>
          <t>N26</t>
        </is>
      </c>
      <c r="C13" s="15" t="inlineStr">
        <is>
          <t>Se reemplaza Res. 1527/2012 y Res. 1274/2014 por el régimen vigente de 2026.</t>
        </is>
      </c>
      <c r="D13" s="15" t="inlineStr">
        <is>
          <t>Resolución 083 de 2026, corregida por Resolución 122 de 2026</t>
        </is>
      </c>
      <c r="E13" s="15" t="inlineStr">
        <is>
          <t>https://www.minambiente.gov.co/documento-normativa/resolucion-no-083-de-2026-2/</t>
        </is>
      </c>
    </row>
    <row r="14" ht="15" customHeight="1" s="16">
      <c r="A14" s="15" t="inlineStr">
        <is>
          <t>6 oct. 2026</t>
        </is>
      </c>
      <c r="B14" s="15" t="inlineStr">
        <is>
          <t>N28</t>
        </is>
      </c>
      <c r="C14" s="15" t="inlineStr">
        <is>
          <t>Se precisan las normas nacionales de veda y se incorpora expresamente la Res. 0801/1977 para helechos arborescentes.</t>
        </is>
      </c>
      <c r="D14" s="15" t="inlineStr">
        <is>
          <t>Resoluciones 0213 y 0801 de 1977; actos posteriores específicos</t>
        </is>
      </c>
      <c r="E14" s="15" t="inlineStr">
        <is>
          <t>https://www.minambiente.gov.co/direccion-de-bosques-biodiversidad-y-servicios-ecosistemicos/levantamiento-de-veda-de-flora-silvestre/</t>
        </is>
      </c>
    </row>
    <row r="15" ht="23.25" customHeight="1" s="16">
      <c r="A15" s="23" t="inlineStr">
        <is>
          <t>6 oct. 2026 (v4)</t>
        </is>
      </c>
      <c r="B15" s="23" t="inlineStr">
        <is>
          <t>Instrucciones</t>
        </is>
      </c>
      <c r="C15" s="23" t="inlineStr">
        <is>
          <t>Fecha de corte unificada en octubre de 2026 (decisión de Adri). Se elimina la versión de junio.</t>
        </is>
      </c>
      <c r="D15" s="23" t="n"/>
      <c r="E15" s="23" t="n"/>
    </row>
    <row r="16" ht="34.5" customHeight="1" s="16">
      <c r="A16" s="23" t="inlineStr">
        <is>
          <t>6 oct. 2026 (v4)</t>
        </is>
      </c>
      <c r="B16" s="23" t="inlineStr">
        <is>
          <t>Normas (estructura)</t>
        </is>
      </c>
      <c r="C16" s="23" t="inlineStr">
        <is>
          <t>Se separa 'Estado de vigencia' de 'Estado de verificación'; se agregan columnas 'Pendiente para redacción' y 'Prioridad'; contador de avance reconstruido.</t>
        </is>
      </c>
      <c r="D16" s="23" t="n"/>
      <c r="E16" s="23" t="n"/>
    </row>
    <row r="17" ht="15" customHeight="1" s="16">
      <c r="A17" s="23" t="inlineStr">
        <is>
          <t>6 oct. 2026 (v4)</t>
        </is>
      </c>
      <c r="B17" s="23" t="inlineStr">
        <is>
          <t>N07, N21, N26</t>
        </is>
      </c>
      <c r="C17" s="23" t="inlineStr">
        <is>
          <t>Certeza baja de Alta a Media mientras se resuelven pendientes.</t>
        </is>
      </c>
      <c r="D17" s="23" t="n"/>
      <c r="E17" s="23" t="n"/>
    </row>
    <row r="18" ht="15" customHeight="1" s="16">
      <c r="A18" s="23" t="inlineStr">
        <is>
          <t>6 oct. 2026 (v4)</t>
        </is>
      </c>
      <c r="B18" s="23" t="inlineStr">
        <is>
          <t>N25, N28</t>
        </is>
      </c>
      <c r="C18" s="23" t="inlineStr">
        <is>
          <t>Marcadas como Verificado (vigencia + texto literal).</t>
        </is>
      </c>
      <c r="D18" s="23" t="n"/>
      <c r="E18" s="23" t="n"/>
    </row>
    <row r="19" ht="23.25" customHeight="1" s="16">
      <c r="A19" s="23" t="inlineStr">
        <is>
          <t>6 oct. 2026 (v4)</t>
        </is>
      </c>
      <c r="B19" s="23" t="inlineStr">
        <is>
          <t>N01, N10</t>
        </is>
      </c>
      <c r="C19" s="23" t="inlineStr">
        <is>
          <t>Marcadas en rojo: fecha de consulta inválida (N01) y fuente oficial que no corresponde al tema (N10). Sin borrar datos originales.</t>
        </is>
      </c>
      <c r="D19" s="23" t="n"/>
      <c r="E19" s="23" t="n"/>
    </row>
    <row r="20" ht="23.25" customHeight="1" s="16">
      <c r="A20" s="23" t="inlineStr">
        <is>
          <t>6 oct. 2026 (v4)</t>
        </is>
      </c>
      <c r="B20" s="23" t="inlineStr">
        <is>
          <t>N33</t>
        </is>
      </c>
      <c r="C20" s="23" t="inlineStr">
        <is>
          <t>Fila nueva: concepto jurídico MADS 2025, citado en N07/N09 sin registro propio.</t>
        </is>
      </c>
      <c r="D20" s="23" t="n"/>
      <c r="E20" s="23" t="n"/>
    </row>
    <row r="21" ht="34.5" customHeight="1" s="16">
      <c r="A21" s="23" t="inlineStr">
        <is>
          <t>6 oct. 2026 (v4)</t>
        </is>
      </c>
      <c r="B21" s="23" t="inlineStr">
        <is>
          <t>N34–N36</t>
        </is>
      </c>
      <c r="C21" s="23" t="inlineStr">
        <is>
          <t>Filas nuevas: régimen sancionatorio (Ley 1333/2009 y reforma) y delitos ambientales (Ley 2111/2021). Decisión de Adri: solo mención en el capítulo.</t>
        </is>
      </c>
      <c r="D21" s="23" t="n"/>
      <c r="E21" s="23" t="n"/>
    </row>
    <row r="22" ht="15" customHeight="1" s="16">
      <c r="A22" s="23" t="inlineStr">
        <is>
          <t>6 oct. 2026 (v4)</t>
        </is>
      </c>
      <c r="B22" s="23" t="inlineStr">
        <is>
          <t>Literatura</t>
        </is>
      </c>
      <c r="C22" s="23" t="inlineStr">
        <is>
          <t>Celdas de página y cita textual vacías marcadas en rojo.</t>
        </is>
      </c>
      <c r="D22" s="23" t="n"/>
      <c r="E22" s="23" t="n"/>
    </row>
    <row r="23" ht="102" customHeight="1" s="16">
      <c r="A23" s="23" t="inlineStr">
        <is>
          <t>6 oct. 2026 (v5)</t>
        </is>
      </c>
      <c r="B23" s="23" t="inlineStr">
        <is>
          <t>N04</t>
        </is>
      </c>
      <c r="C23" s="23" t="inlineStr">
        <is>
          <t>Texto literal incorporado: 16 fragmentos con página (arts. 1, 5, 23, 31, 51, 55 y 66). Notas de vigencia revisadas. Estado de verificación pasa a "Verificado".</t>
        </is>
      </c>
      <c r="D23" s="23" t="inlineStr">
        <is>
          <t>Ley 99 de 1993 (versión integrada Función Pública)</t>
        </is>
      </c>
      <c r="E23" s="23" t="inlineStr">
        <is>
          <t>https://www.funcionpublica.gov.co/eva/gestornormativo/norma.php?i=297</t>
        </is>
      </c>
    </row>
    <row r="24" ht="23.25" customHeight="1" s="16">
      <c r="A24" s="23" t="inlineStr">
        <is>
          <t>6 oct. 2026 (v5)</t>
        </is>
      </c>
      <c r="B24" s="23" t="inlineStr">
        <is>
          <t>N04</t>
        </is>
      </c>
      <c r="C24" s="23" t="inlineStr">
        <is>
          <t>Columna Artículo(s) actualizada para reflejar exactamente los artículos y numerales citados.</t>
        </is>
      </c>
      <c r="D24" s="23" t="n"/>
      <c r="E24" s="23" t="n"/>
    </row>
    <row r="25" ht="23.25" customHeight="1" s="16">
      <c r="A25" s="23" t="inlineStr">
        <is>
          <t>6 oct. 2026 (v5)</t>
        </is>
      </c>
      <c r="B25" s="23" t="inlineStr">
        <is>
          <t>N34</t>
        </is>
      </c>
      <c r="C25" s="23" t="inlineStr">
        <is>
          <t>Se agrega evidencia cruzada: arts. 83–85 de la Ley 99 subrogados por el art. 66 de la Ley 1333 de 2009. N34 sigue "Por verificar".</t>
        </is>
      </c>
      <c r="D25" s="23" t="inlineStr">
        <is>
          <t>Ley 99 de 1993, pp. 48–49</t>
        </is>
      </c>
      <c r="E25" s="23" t="n"/>
    </row>
    <row r="26" ht="113.25" customHeight="1" s="16">
      <c r="A26" s="23" t="inlineStr">
        <is>
          <t>6 oct. 2026 (v6)</t>
        </is>
      </c>
      <c r="B26" s="23" t="inlineStr">
        <is>
          <t>N05</t>
        </is>
      </c>
      <c r="C26" s="23" t="inlineStr">
        <is>
          <t>Texto literal (arts. 1, 2 y 3 nums. 1, 2, 7, 11) y notas de vigencia revisadas. Verificado. Columna K corregida: el Decreto-Ley no está compilado en el DUR.</t>
        </is>
      </c>
      <c r="D26" s="23" t="inlineStr">
        <is>
          <t>Decreto-Ley 3573 de 2011 (Función Pública)</t>
        </is>
      </c>
      <c r="E26" s="23" t="inlineStr">
        <is>
          <t>https://www.funcionpublica.gov.co/eva/gestornormativo/norma.php?i=45591</t>
        </is>
      </c>
    </row>
    <row r="27" ht="113.25" customHeight="1" s="16">
      <c r="A27" s="23" t="inlineStr">
        <is>
          <t>6 oct. 2026 (v6)</t>
        </is>
      </c>
      <c r="B27" s="23" t="inlineStr">
        <is>
          <t>N06</t>
        </is>
      </c>
      <c r="C27" s="23" t="inlineStr">
        <is>
          <t>Mapa de artículos del DUR (caps. 8 y 9) y encabezados literales. Verificado, con fecha de actualización de la versión integrada (2 nov. 2025).</t>
        </is>
      </c>
      <c r="D27" s="23" t="inlineStr">
        <is>
          <t>Decreto 1076 de 2015 (Función Pública)</t>
        </is>
      </c>
      <c r="E27" s="23" t="inlineStr">
        <is>
          <t>https://www.funcionpublica.gov.co/eva/gestornormativo/norma.php?i=78153</t>
        </is>
      </c>
    </row>
    <row r="28" ht="113.25" customHeight="1" s="16">
      <c r="A28" s="23" t="inlineStr">
        <is>
          <t>6 oct. 2026 (v6)</t>
        </is>
      </c>
      <c r="B28" s="23" t="inlineStr">
        <is>
          <t>N07</t>
        </is>
      </c>
      <c r="C28" s="23" t="inlineStr">
        <is>
          <t>Criterio de competencia resuelto (art. 2.2.2.8.1.4). Texto literal, 14 fragmentos. Certeza Media → Alta. Verificado. Fuente oficial → versión integrada del DUR.</t>
        </is>
      </c>
      <c r="D28" s="23" t="inlineStr">
        <is>
          <t>DUR 1076/2015, Cap. 8</t>
        </is>
      </c>
      <c r="E28" s="23" t="inlineStr">
        <is>
          <t>https://www.funcionpublica.gov.co/eva/gestornormativo/norma.php?i=78153</t>
        </is>
      </c>
    </row>
    <row r="29" ht="113.25" customHeight="1" s="16">
      <c r="A29" s="23" t="inlineStr">
        <is>
          <t>6 oct. 2026 (v6)</t>
        </is>
      </c>
      <c r="B29" s="23" t="inlineStr">
        <is>
          <t>N08</t>
        </is>
      </c>
      <c r="C29" s="23" t="inlineStr">
        <is>
          <t>Texto literal de la obligación de reporte al SiB en los tres regímenes. Verificado.</t>
        </is>
      </c>
      <c r="D29" s="23" t="inlineStr">
        <is>
          <t>DUR 1076/2015, caps. 8–9</t>
        </is>
      </c>
      <c r="E29" s="23" t="inlineStr">
        <is>
          <t>https://www.funcionpublica.gov.co/eva/gestornormativo/norma.php?i=78153</t>
        </is>
      </c>
    </row>
    <row r="30" ht="113.25" customHeight="1" s="16">
      <c r="A30" s="23" t="inlineStr">
        <is>
          <t>6 oct. 2026 (v6)</t>
        </is>
      </c>
      <c r="B30" s="23" t="inlineStr">
        <is>
          <t>N09</t>
        </is>
      </c>
      <c r="C30" s="23" t="inlineStr">
        <is>
          <t>Texto literal (competencia, objeto, vigencia). Verificado. Fuente oficial cambiada a Función Pública.</t>
        </is>
      </c>
      <c r="D30" s="23" t="inlineStr">
        <is>
          <t>DUR 1076/2015, Cap. 9, Secc. 2</t>
        </is>
      </c>
      <c r="E30" s="23" t="inlineStr">
        <is>
          <t>https://www.funcionpublica.gov.co/eva/gestornormativo/norma.php?i=78153</t>
        </is>
      </c>
    </row>
    <row r="31" ht="113.25" customHeight="1" s="16">
      <c r="A31" s="23" t="inlineStr">
        <is>
          <t>6 oct. 2026 (v6)</t>
        </is>
      </c>
      <c r="B31" s="23" t="inlineStr">
        <is>
          <t>N10</t>
        </is>
      </c>
      <c r="C31" s="23" t="inlineStr">
        <is>
          <t>Artículos exactos confirmados (Cap. 9, Secc. 1). Fuente oficial corregida. Verificado.</t>
        </is>
      </c>
      <c r="D31" s="23" t="inlineStr">
        <is>
          <t>DUR 1076/2015, Cap. 9, Secc. 1</t>
        </is>
      </c>
      <c r="E31" s="23" t="inlineStr">
        <is>
          <t>https://www.funcionpublica.gov.co/eva/gestornormativo/norma.php?i=78153</t>
        </is>
      </c>
    </row>
    <row r="32" ht="34.5" customHeight="1" s="16">
      <c r="A32" s="23" t="inlineStr">
        <is>
          <t>6 oct. 2026 (v6)</t>
        </is>
      </c>
      <c r="B32" s="23" t="inlineStr">
        <is>
          <t>N11, N15, N33</t>
        </is>
      </c>
      <c r="C32" s="23" t="inlineStr">
        <is>
          <t>Evidencia cruzada desde el DUR (movilización sin salvoconducto; actividades moleculares que no configuran acceso; base normativa de la separación de regímenes). Estados sin cambio.</t>
        </is>
      </c>
      <c r="D32" s="23" t="inlineStr">
        <is>
          <t>DUR 1076/2015</t>
        </is>
      </c>
      <c r="E32" s="23" t="n"/>
    </row>
    <row r="33" ht="23.25" customHeight="1" s="16">
      <c r="A33" s="23" t="inlineStr">
        <is>
          <t>6 oct. 2026 (v7)</t>
        </is>
      </c>
      <c r="B33" s="23" t="inlineStr">
        <is>
          <t>N02</t>
        </is>
      </c>
      <c r="C33" s="23" t="inlineStr">
        <is>
          <t>Texto literal CDB (art. 2: cuatro definiciones; art. 15: nums. 1, 4, 5) y notas de vigencia (C-519/94; Decreto 0205/1996). Verificado.</t>
        </is>
      </c>
      <c r="D33" s="23" t="inlineStr">
        <is>
          <t>Ley 165 de 1994 (PDF aportado)</t>
        </is>
      </c>
      <c r="E33" s="23" t="n"/>
    </row>
    <row r="34" ht="34.5" customHeight="1" s="16">
      <c r="A34" s="23" t="inlineStr">
        <is>
          <t>6 oct. 2026 (v7)</t>
        </is>
      </c>
      <c r="B34" s="23" t="inlineStr">
        <is>
          <t>N14</t>
        </is>
      </c>
      <c r="C34" s="23" t="inlineStr">
        <is>
          <t>Texto literal (10 fragmentos) desde la Gaceta Oficial No. 213 (17 jul. 1996). Verificado. Hallazgo: la definición de ACCESO incluye fines de investigación y entra en tensión con las exclusiones nacionales.</t>
        </is>
      </c>
      <c r="D34" s="23" t="inlineStr">
        <is>
          <t>Decisión Andina 391 de 1996</t>
        </is>
      </c>
      <c r="E34" s="23" t="n"/>
    </row>
    <row r="35" ht="23.25" customHeight="1" s="16">
      <c r="A35" s="23" t="inlineStr">
        <is>
          <t>6 oct. 2026 (v7)</t>
        </is>
      </c>
      <c r="B35" s="23" t="inlineStr">
        <is>
          <t>N15</t>
        </is>
      </c>
      <c r="C35" s="23" t="inlineStr">
        <is>
          <t>Texto literal de las Res. 1348/2014 y 1352/2017 (OCR + cotejo visual). Verificado. Fechas confirmadas: 14 ago. 2014 y 11 jul. 2017.</t>
        </is>
      </c>
      <c r="D35" s="23" t="inlineStr">
        <is>
          <t>Res. 1348/2014; Res. 1352/2017</t>
        </is>
      </c>
      <c r="E35" s="23" t="n"/>
    </row>
    <row r="36" ht="34.5" customHeight="1" s="16">
      <c r="A36" s="23" t="inlineStr">
        <is>
          <t>6 oct. 2026 (v7)</t>
        </is>
      </c>
      <c r="B36" s="23" t="inlineStr">
        <is>
          <t>N07, N08, N10</t>
        </is>
      </c>
      <c r="C36" s="23" t="inlineStr">
        <is>
          <t>Concordancia DUR–decretos originales 1375 y 1376 de 2013. Dos diferencias de compilación documentadas. N10: se agregó el art. 2.2.2.9.1.4, pars. 1–2.</t>
        </is>
      </c>
      <c r="D36" s="23" t="inlineStr">
        <is>
          <t>Decretos 1375 y 1376 de 2013 (copias escaneadas)</t>
        </is>
      </c>
      <c r="E36" s="23" t="n"/>
    </row>
    <row r="37" ht="15" customHeight="1" s="16">
      <c r="A37" s="23" t="inlineStr">
        <is>
          <t>6 oct. 2026 (v7)</t>
        </is>
      </c>
      <c r="B37" s="23" t="inlineStr">
        <is>
          <t>N04, N12</t>
        </is>
      </c>
      <c r="C37" s="23" t="inlineStr">
        <is>
          <t>Evidencia cruzada desde el Decreto-Ley 3570 de 2011.</t>
        </is>
      </c>
      <c r="D37" s="23" t="inlineStr">
        <is>
          <t>Decreto-Ley 3570 de 2011</t>
        </is>
      </c>
      <c r="E37" s="23" t="n"/>
    </row>
    <row r="38" ht="15" customHeight="1" s="16">
      <c r="A38" s="23" t="inlineStr">
        <is>
          <t>6 oct. 2026 (v7)</t>
        </is>
      </c>
      <c r="B38" s="23" t="inlineStr">
        <is>
          <t>N37</t>
        </is>
      </c>
      <c r="C38" s="23" t="inlineStr">
        <is>
          <t>Fila nueva: Decreto-Ley 3570 de 2011. Por verificar la vigencia del art. 16.</t>
        </is>
      </c>
      <c r="D38" s="23" t="inlineStr">
        <is>
          <t>Decreto-Ley 3570 de 2011</t>
        </is>
      </c>
      <c r="E38" s="23" t="n"/>
    </row>
    <row r="39" ht="34.5" customHeight="1" s="16">
      <c r="A39" s="23" t="inlineStr">
        <is>
          <t>6 oct. 2026 (v8)</t>
        </is>
      </c>
      <c r="B39" s="23" t="inlineStr">
        <is>
          <t>Decreto 0973/2026</t>
        </is>
      </c>
      <c r="C39" s="23" t="inlineStr">
        <is>
          <t>Revisado a solicitud de Adri: regula mercados de carbono (Cap. 15, Tít. 9 del DUR; deroga Tít. 11). No modifica el régimen de permisos. Se documenta la brecha en N06–N10.</t>
        </is>
      </c>
      <c r="D39" s="23" t="inlineStr">
        <is>
          <t>Decreto 0973 de 4 ago. 2026 (copia escaneada)</t>
        </is>
      </c>
      <c r="E39" s="23" t="n"/>
    </row>
    <row r="40" ht="23.25" customHeight="1" s="16">
      <c r="A40" s="23" t="inlineStr">
        <is>
          <t>6 oct. 2026 (v8)</t>
        </is>
      </c>
      <c r="B40" s="23" t="inlineStr">
        <is>
          <t>N35</t>
        </is>
      </c>
      <c r="C40" s="23" t="inlineStr">
        <is>
          <t>Número de la reforma confirmado: Ley 2387 de 2024. Sigue "Por verificar".</t>
        </is>
      </c>
      <c r="D40" s="23" t="inlineStr">
        <is>
          <t>Decreto 0973 de 2026</t>
        </is>
      </c>
      <c r="E40" s="23" t="n"/>
    </row>
    <row r="41" ht="15" customHeight="1" s="16">
      <c r="A41" s="23" t="inlineStr">
        <is>
          <t>6 oct. 2026 (v8)</t>
        </is>
      </c>
      <c r="B41" s="23" t="inlineStr">
        <is>
          <t>N33</t>
        </is>
      </c>
      <c r="C41" s="23" t="inlineStr">
        <is>
          <t>Prioridad Alta → Media (decisión de Adri).</t>
        </is>
      </c>
      <c r="D41" s="23" t="n"/>
      <c r="E41" s="23" t="n"/>
    </row>
    <row r="42" ht="15" customHeight="1" s="16">
      <c r="A42" s="23" t="inlineStr">
        <is>
          <t>6 oct. 2026 (v8)</t>
        </is>
      </c>
      <c r="B42" s="23" t="inlineStr">
        <is>
          <t>N38</t>
        </is>
      </c>
      <c r="C42" s="23" t="inlineStr">
        <is>
          <t>Fila nueva: Decreto 730 de 1997 (decisión de Adri). Por verificar.</t>
        </is>
      </c>
      <c r="D42" s="23" t="inlineStr">
        <is>
          <t>Res. 1348/2014 (considerandos)</t>
        </is>
      </c>
      <c r="E42" s="23" t="n"/>
    </row>
    <row r="43" ht="124.5" customHeight="1" s="16">
      <c r="A43" s="23" t="inlineStr">
        <is>
          <t>6 oct. 2026 (v9)</t>
        </is>
      </c>
      <c r="B43" s="23" t="inlineStr">
        <is>
          <t>N01</t>
        </is>
      </c>
      <c r="C43" s="23" t="inlineStr">
        <is>
          <t>Texto literal de los arts. 8, 79, 80 y 81 (Secretaría del Senado). Verificado. Fecha de consulta corregida.</t>
        </is>
      </c>
      <c r="D43" s="23" t="inlineStr">
        <is>
          <t>Constitución Política de 1991</t>
        </is>
      </c>
      <c r="E43" s="23" t="inlineStr">
        <is>
          <t>http://www.secretariasenado.gov.co/senado/basedoc/constitucion_politica_1991_pr002.html</t>
        </is>
      </c>
    </row>
    <row r="44" ht="15" customHeight="1" s="16">
      <c r="A44" s="23" t="inlineStr">
        <is>
          <t>6 oct. 2026 (v9)</t>
        </is>
      </c>
      <c r="B44" s="23" t="inlineStr">
        <is>
          <t>N10</t>
        </is>
      </c>
      <c r="C44" s="23" t="inlineStr">
        <is>
          <t>Definición de "colección biológica" agregada.</t>
        </is>
      </c>
      <c r="D44" s="23" t="inlineStr">
        <is>
          <t>DUR art. 2.2.2.9.1.3</t>
        </is>
      </c>
      <c r="E44" s="23" t="n"/>
    </row>
    <row r="45" ht="23.25" customHeight="1" s="16">
      <c r="A45" s="23" t="inlineStr">
        <is>
          <t>6 oct. 2026 (v9)</t>
        </is>
      </c>
      <c r="B45" s="23" t="inlineStr">
        <is>
          <t>N39</t>
        </is>
      </c>
      <c r="C45" s="23" t="inlineStr">
        <is>
          <t>Fila nueva: Guía ANLA IR-GU-04 (documento administrativo). Discrepancias anotadas en N07, N10 y N15.</t>
        </is>
      </c>
      <c r="D45" s="23" t="inlineStr">
        <is>
          <t>Guía ANLA 18-02-2025</t>
        </is>
      </c>
      <c r="E45" s="23" t="n"/>
    </row>
    <row r="46" ht="23.25" customHeight="1" s="16">
      <c r="A46" s="23" t="inlineStr">
        <is>
          <t>6 oct. 2026 (v9)</t>
        </is>
      </c>
      <c r="B46" s="23" t="inlineStr">
        <is>
          <t>N40</t>
        </is>
      </c>
      <c r="C46" s="23" t="inlineStr">
        <is>
          <t>Fila nueva: régimen del Decreto 309 de 2000 compilado en el DUR (Cap. 5, Tít. 1), sin derogatoria expresa. Prioridad Alta.</t>
        </is>
      </c>
      <c r="D46" s="23" t="inlineStr">
        <is>
          <t>DUR 1076/2015; Decreto 1376/2013 arts. 31–32</t>
        </is>
      </c>
      <c r="E46" s="23" t="n"/>
    </row>
    <row r="47" ht="15" customHeight="1" s="16">
      <c r="A47" s="23" t="inlineStr">
        <is>
          <t>6 oct. 2026 (v10)</t>
        </is>
      </c>
      <c r="B47" s="23" t="inlineStr">
        <is>
          <t>L01</t>
        </is>
      </c>
      <c r="C47" s="23" t="inlineStr">
        <is>
          <t>Verificado contra PDF: datos bibliográficos, página 1405 y cita textual.</t>
        </is>
      </c>
      <c r="D47" s="23" t="inlineStr">
        <is>
          <t>Prathapan et al. 2018, Science</t>
        </is>
      </c>
      <c r="E47" s="23" t="n"/>
    </row>
    <row r="48" ht="15" customHeight="1" s="16">
      <c r="A48" s="23" t="inlineStr">
        <is>
          <t>6 oct. 2026 (v10)</t>
        </is>
      </c>
      <c r="B48" s="23" t="inlineStr">
        <is>
          <t>L02</t>
        </is>
      </c>
      <c r="C48" s="23" t="inlineStr">
        <is>
          <t>Verificado contra PDF: datos bibliográficos, p. 1 y cita textual.</t>
        </is>
      </c>
      <c r="D48" s="23" t="inlineStr">
        <is>
          <t>Neumann et al. 2018, Org Divers Evol</t>
        </is>
      </c>
      <c r="E48" s="23" t="n"/>
    </row>
    <row r="49" ht="34.5" customHeight="1" s="16">
      <c r="A49" s="23" t="inlineStr">
        <is>
          <t>6 oct. 2026 (v10)</t>
        </is>
      </c>
      <c r="B49" s="23" t="inlineStr">
        <is>
          <t>N40</t>
        </is>
      </c>
      <c r="C49" s="23" t="inlineStr">
        <is>
          <t>Se agrega la versión de Función Pública del Decreto 309 de 2000: sin nota de derogatoria; modificaciones por los Decretos 1553/2000 y 302/2003. Sigue Por verificar. Decisión de tratamiento registrada.</t>
        </is>
      </c>
      <c r="D49" s="23" t="inlineStr">
        <is>
          <t>Decreto 309 de 2000</t>
        </is>
      </c>
      <c r="E49" s="23" t="n"/>
    </row>
    <row r="50" ht="124.5" customHeight="1" s="16">
      <c r="A50" s="23" t="inlineStr">
        <is>
          <t>6 oct. 2026 (v11)</t>
        </is>
      </c>
      <c r="B50" s="23" t="inlineStr">
        <is>
          <t>N01</t>
        </is>
      </c>
      <c r="C50" s="23" t="inlineStr">
        <is>
          <t>Se agregan los arts. 27 y 69 (texto literal) por decisión de Adri, para 2.1.</t>
        </is>
      </c>
      <c r="D50" s="23" t="inlineStr">
        <is>
          <t>Constitución Política de 1991</t>
        </is>
      </c>
      <c r="E50" s="23" t="inlineStr">
        <is>
          <t>http://www.secretariasenado.gov.co/senado/basedoc/constitucion_politica_1991.html</t>
        </is>
      </c>
    </row>
    <row r="51" ht="23.85" customHeight="1" s="16">
      <c r="A51" s="23" t="inlineStr">
        <is>
          <t>6 oct. 2026 (v12)</t>
        </is>
      </c>
      <c r="B51" s="23" t="inlineStr">
        <is>
          <t>N14</t>
        </is>
      </c>
      <c r="C51" s="23" t="inlineStr">
        <is>
          <t>Se agrega la definición de DIVERSIDAD BIOLOGICA (art. 1, p. 2), usada en la Tabla 2.1 del borrador de la sección 2.</t>
        </is>
      </c>
      <c r="D51" s="23" t="inlineStr">
        <is>
          <t>Decisión Andina 391 de 1996</t>
        </is>
      </c>
      <c r="E51" s="23" t="n"/>
    </row>
    <row r="52">
      <c r="A52" t="inlineStr">
        <is>
          <t>9 oct. 2026 (v13)</t>
        </is>
      </c>
      <c r="B52" t="inlineStr">
        <is>
          <t>N26</t>
        </is>
      </c>
      <c r="C52" t="inlineStr">
        <is>
          <t>Texto literal (arts. 1; 2 nums. 4, 9, 11, 28 y par. 1; 3 lit. a; 5; 6) desde la copia firmada. Respondida la pregunta: la infraestructura de campo para investigación en biodiversidad no requiere sustracción, con aviso previo (art. 6). Verificado. Prioridad Alta → Baja.</t>
        </is>
      </c>
      <c r="D52" t="inlineStr">
        <is>
          <t>Resolución 0083 de 2026</t>
        </is>
      </c>
    </row>
    <row r="53">
      <c r="A53" t="inlineStr">
        <is>
          <t>9 oct. 2026 (v13)</t>
        </is>
      </c>
      <c r="B53" t="inlineStr">
        <is>
          <t>N21</t>
        </is>
      </c>
      <c r="C53" t="inlineStr">
        <is>
          <t>Revisión completa de la Ley 2455/2025: no modifica los arts. 23–26 de la Ley 84/1989. Duda sobre el «título IX» derogado, para el abogado. Prioridad Alta → Media.</t>
        </is>
      </c>
      <c r="D53" t="inlineStr">
        <is>
          <t>Ley 2455 de 2025</t>
        </is>
      </c>
    </row>
    <row r="54">
      <c r="A54" t="inlineStr">
        <is>
          <t>9 oct. 2026 (v13)</t>
        </is>
      </c>
      <c r="B54" t="inlineStr">
        <is>
          <t>N35</t>
        </is>
      </c>
      <c r="C54" t="inlineStr">
        <is>
          <t>Evidencia cruzada desde la Ley 2455/2025, art. 23.</t>
        </is>
      </c>
      <c r="D54" t="inlineStr">
        <is>
          <t>Ley 2455 de 2025</t>
        </is>
      </c>
    </row>
    <row r="55">
      <c r="A55" t="inlineStr">
        <is>
          <t>9 oct. 2026 (v13)</t>
        </is>
      </c>
      <c r="B55" t="inlineStr">
        <is>
          <t>N41</t>
        </is>
      </c>
      <c r="C55" t="inlineStr">
        <is>
          <t>Fila nueva: Auto 328 de 2024 como caso ilustrativo para la sección 7.</t>
        </is>
      </c>
      <c r="D55" t="inlineStr">
        <is>
          <t>Auto 328 de 2024</t>
        </is>
      </c>
    </row>
  </sheetData>
  <autoFilter ref="A1:D1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2026-10-06T17:45:41Z</dcterms:created>
  <dcterms:modified xmlns:dcterms="http://purl.org/dc/terms/" xmlns:xsi="http://www.w3.org/2001/XMLSchema-instance" xsi:type="dcterms:W3CDTF">2026-10-09T14:06:07Z</dcterms:modified>
  <cp:revision>0</cp:revision>
</cp:coreProperties>
</file>